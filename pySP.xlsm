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video\WorkSpace\"/>
    </mc:Choice>
  </mc:AlternateContent>
  <bookViews>
    <workbookView xWindow="-24495" yWindow="2895" windowWidth="23025" windowHeight="14310"/>
  </bookViews>
  <sheets>
    <sheet name="Hoja1" sheetId="1" r:id="rId1"/>
    <sheet name="Hoja2" sheetId="2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17" i="1" l="1"/>
  <c r="H184" i="1"/>
  <c r="H132" i="1"/>
  <c r="H138" i="1"/>
  <c r="H174" i="1"/>
  <c r="H136" i="1"/>
  <c r="H170" i="1"/>
  <c r="H111" i="1"/>
  <c r="H140" i="1"/>
  <c r="H162" i="1"/>
  <c r="H16" i="1"/>
  <c r="H115" i="1"/>
  <c r="H52" i="1"/>
  <c r="H41" i="1"/>
  <c r="H103" i="1"/>
  <c r="H152" i="1"/>
  <c r="H189" i="1"/>
  <c r="H21" i="1"/>
  <c r="H2" i="1"/>
  <c r="H213" i="1"/>
  <c r="H53" i="1"/>
  <c r="H32" i="1"/>
  <c r="H169" i="1"/>
  <c r="H40" i="1"/>
  <c r="H46" i="1"/>
  <c r="H82" i="1"/>
  <c r="H166" i="1"/>
  <c r="H68" i="1"/>
  <c r="H113" i="1"/>
  <c r="H91" i="1"/>
  <c r="H56" i="1"/>
  <c r="H214" i="1"/>
  <c r="H110" i="1"/>
  <c r="H118" i="1"/>
  <c r="H59" i="1"/>
  <c r="H182" i="1"/>
  <c r="H196" i="1"/>
  <c r="H116" i="1"/>
  <c r="H171" i="1"/>
  <c r="H10" i="1"/>
  <c r="H28" i="1"/>
  <c r="H102" i="1"/>
  <c r="H99" i="1"/>
  <c r="H90" i="1"/>
  <c r="H179" i="1"/>
  <c r="H126" i="1"/>
  <c r="H161" i="1"/>
  <c r="H151" i="1"/>
  <c r="H154" i="1"/>
  <c r="H100" i="1"/>
  <c r="H79" i="1"/>
  <c r="H176" i="1"/>
  <c r="H160" i="1"/>
  <c r="H172" i="1"/>
  <c r="H71" i="1"/>
  <c r="H183" i="1"/>
  <c r="H57" i="1"/>
  <c r="H22" i="1"/>
  <c r="H208" i="1"/>
  <c r="H217" i="1"/>
  <c r="H44" i="1"/>
  <c r="H144" i="1"/>
  <c r="H58" i="1"/>
  <c r="H204" i="1"/>
  <c r="H34" i="1"/>
  <c r="H165" i="1"/>
  <c r="H88" i="1"/>
  <c r="H203" i="1"/>
  <c r="H80" i="1"/>
  <c r="H63" i="1"/>
  <c r="H43" i="1"/>
  <c r="H167" i="1"/>
  <c r="H199" i="1"/>
  <c r="H23" i="1"/>
  <c r="H129" i="1"/>
  <c r="H188" i="1"/>
  <c r="H93" i="1"/>
  <c r="H76" i="1"/>
  <c r="H4" i="1"/>
  <c r="H30" i="1"/>
  <c r="H83" i="1"/>
  <c r="H37" i="1"/>
  <c r="H212" i="1"/>
  <c r="H145" i="1"/>
  <c r="H78" i="1"/>
  <c r="H192" i="1"/>
  <c r="H128" i="1"/>
  <c r="H141" i="1"/>
  <c r="H105" i="1"/>
  <c r="H158" i="1"/>
  <c r="H175" i="1"/>
  <c r="H85" i="1"/>
  <c r="H3" i="1"/>
  <c r="H124" i="1"/>
  <c r="H101" i="1"/>
  <c r="H20" i="1"/>
  <c r="H181" i="1"/>
  <c r="H92" i="1"/>
  <c r="H25" i="1"/>
  <c r="H153" i="1"/>
  <c r="H5" i="1"/>
  <c r="H178" i="1"/>
  <c r="H195" i="1"/>
  <c r="H168" i="1"/>
  <c r="H216" i="1"/>
  <c r="H180" i="1"/>
  <c r="H148" i="1"/>
  <c r="H120" i="1"/>
  <c r="H18" i="1"/>
  <c r="H72" i="1"/>
  <c r="H186" i="1"/>
  <c r="H109" i="1"/>
  <c r="H17" i="1"/>
  <c r="H50" i="1"/>
  <c r="F171" i="1"/>
  <c r="F158" i="1"/>
  <c r="F176" i="1"/>
  <c r="F148" i="1"/>
  <c r="F80" i="1"/>
  <c r="G103" i="1"/>
  <c r="F166" i="1"/>
  <c r="F184" i="1"/>
  <c r="G105" i="1"/>
  <c r="G53" i="1"/>
  <c r="G184" i="1"/>
  <c r="F140" i="1"/>
  <c r="F5" i="1"/>
  <c r="G208" i="1"/>
  <c r="G71" i="1"/>
  <c r="G117" i="1"/>
  <c r="G140" i="1"/>
  <c r="G79" i="1"/>
  <c r="F129" i="1"/>
  <c r="G99" i="1"/>
  <c r="G189" i="1"/>
  <c r="F44" i="1"/>
  <c r="F126" i="1"/>
  <c r="F56" i="1"/>
  <c r="G216" i="1"/>
  <c r="F102" i="1"/>
  <c r="F57" i="1"/>
  <c r="G37" i="1"/>
  <c r="F183" i="1"/>
  <c r="F92" i="1"/>
  <c r="G16" i="1"/>
  <c r="G181" i="1"/>
  <c r="F18" i="1"/>
  <c r="F115" i="1"/>
  <c r="F105" i="1"/>
  <c r="G57" i="1"/>
  <c r="F204" i="1"/>
  <c r="G213" i="1"/>
  <c r="F93" i="1"/>
  <c r="G153" i="1"/>
  <c r="F162" i="1"/>
  <c r="G59" i="1"/>
  <c r="G183" i="1"/>
  <c r="G110" i="1"/>
  <c r="F168" i="1"/>
  <c r="F138" i="1"/>
  <c r="G91" i="1"/>
  <c r="G192" i="1"/>
  <c r="G136" i="1"/>
  <c r="G167" i="1"/>
  <c r="G212" i="1"/>
  <c r="G129" i="1"/>
  <c r="F151" i="1"/>
  <c r="F3" i="1"/>
  <c r="G175" i="1"/>
  <c r="G40" i="1"/>
  <c r="G68" i="1"/>
  <c r="G2" i="1"/>
  <c r="G199" i="1"/>
  <c r="F71" i="1"/>
  <c r="G25" i="1"/>
  <c r="G101" i="1"/>
  <c r="F179" i="1"/>
  <c r="G44" i="1"/>
  <c r="F99" i="1"/>
  <c r="F144" i="1"/>
  <c r="G43" i="1"/>
  <c r="G195" i="1"/>
  <c r="G165" i="1"/>
  <c r="F34" i="1"/>
  <c r="F37" i="1"/>
  <c r="F161" i="1"/>
  <c r="G78" i="1"/>
  <c r="G161" i="1"/>
  <c r="G178" i="1"/>
  <c r="F216" i="1"/>
  <c r="F63" i="1"/>
  <c r="F196" i="1"/>
  <c r="F172" i="1"/>
  <c r="F22" i="1"/>
  <c r="G162" i="1"/>
  <c r="G168" i="1"/>
  <c r="F174" i="1"/>
  <c r="G176" i="1"/>
  <c r="G63" i="1"/>
  <c r="F189" i="1"/>
  <c r="G20" i="1"/>
  <c r="F153" i="1"/>
  <c r="F46" i="1"/>
  <c r="F85" i="1"/>
  <c r="G180" i="1"/>
  <c r="G144" i="1"/>
  <c r="G188" i="1"/>
  <c r="F154" i="1"/>
  <c r="F79" i="1"/>
  <c r="F160" i="1"/>
  <c r="F16" i="1"/>
  <c r="G76" i="1"/>
  <c r="F117" i="1"/>
  <c r="G93" i="1"/>
  <c r="G148" i="1"/>
  <c r="F52" i="1"/>
  <c r="G21" i="1"/>
  <c r="G179" i="1"/>
  <c r="G170" i="1"/>
  <c r="F2" i="1"/>
  <c r="G151" i="1"/>
  <c r="F132" i="1"/>
  <c r="G5" i="1"/>
  <c r="G41" i="1"/>
  <c r="G172" i="1"/>
  <c r="G113" i="1"/>
  <c r="F182" i="1"/>
  <c r="F169" i="1"/>
  <c r="F181" i="1"/>
  <c r="G109" i="1"/>
  <c r="F167" i="1"/>
  <c r="F68" i="1"/>
  <c r="F41" i="1"/>
  <c r="G158" i="1"/>
  <c r="F170" i="1"/>
  <c r="F212" i="1"/>
  <c r="G22" i="1"/>
  <c r="F25" i="1"/>
  <c r="F186" i="1"/>
  <c r="G166" i="1"/>
  <c r="G82" i="1"/>
  <c r="G116" i="1"/>
  <c r="F124" i="1"/>
  <c r="G56" i="1"/>
  <c r="G92" i="1"/>
  <c r="F192" i="1"/>
  <c r="F43" i="1"/>
  <c r="F195" i="1"/>
  <c r="G214" i="1"/>
  <c r="G83" i="1"/>
  <c r="G152" i="1"/>
  <c r="G100" i="1"/>
  <c r="F213" i="1"/>
  <c r="G50" i="1"/>
  <c r="F100" i="1"/>
  <c r="F10" i="1"/>
  <c r="G154" i="1"/>
  <c r="F32" i="1"/>
  <c r="F58" i="1"/>
  <c r="F111" i="1"/>
  <c r="G160" i="1"/>
  <c r="F165" i="1"/>
  <c r="G80" i="1"/>
  <c r="F203" i="1"/>
  <c r="G138" i="1"/>
  <c r="F180" i="1"/>
  <c r="F72" i="1"/>
  <c r="F91" i="1"/>
  <c r="G124" i="1"/>
  <c r="G174" i="1"/>
  <c r="G88" i="1"/>
  <c r="G171" i="1"/>
  <c r="G118" i="1"/>
  <c r="F188" i="1"/>
  <c r="F217" i="1"/>
  <c r="F20" i="1"/>
  <c r="G145" i="1"/>
  <c r="G72" i="1"/>
  <c r="G32" i="1"/>
  <c r="G132" i="1"/>
  <c r="G30" i="1"/>
  <c r="F4" i="1"/>
  <c r="F110" i="1"/>
  <c r="F208" i="1"/>
  <c r="F40" i="1"/>
  <c r="F76" i="1"/>
  <c r="F118" i="1"/>
  <c r="G4" i="1"/>
  <c r="F30" i="1"/>
  <c r="G126" i="1"/>
  <c r="F82" i="1"/>
  <c r="G10" i="1"/>
  <c r="F88" i="1"/>
  <c r="G141" i="1"/>
  <c r="F145" i="1"/>
  <c r="G203" i="1"/>
  <c r="G3" i="1"/>
  <c r="F152" i="1"/>
  <c r="F50" i="1"/>
  <c r="G58" i="1"/>
  <c r="G90" i="1"/>
  <c r="F59" i="1"/>
  <c r="F21" i="1"/>
  <c r="G120" i="1"/>
  <c r="F90" i="1"/>
  <c r="G182" i="1"/>
  <c r="G18" i="1"/>
  <c r="F109" i="1"/>
  <c r="F199" i="1"/>
  <c r="G28" i="1"/>
  <c r="G17" i="1"/>
  <c r="G169" i="1"/>
  <c r="G196" i="1"/>
  <c r="G186" i="1"/>
  <c r="G46" i="1"/>
  <c r="F28" i="1"/>
  <c r="G34" i="1"/>
  <c r="F53" i="1"/>
  <c r="F17" i="1"/>
  <c r="G128" i="1"/>
  <c r="G52" i="1"/>
  <c r="G217" i="1"/>
  <c r="F136" i="1"/>
  <c r="G111" i="1"/>
  <c r="G102" i="1"/>
  <c r="F113" i="1"/>
  <c r="G85" i="1"/>
  <c r="G115" i="1"/>
  <c r="F141" i="1"/>
  <c r="G204" i="1"/>
  <c r="G23" i="1"/>
  <c r="J25" i="1" l="1"/>
  <c r="J85" i="1"/>
  <c r="J37" i="1"/>
  <c r="J4" i="1"/>
  <c r="J167" i="1"/>
  <c r="J80" i="1"/>
  <c r="I176" i="1"/>
  <c r="I126" i="1"/>
  <c r="I28" i="1"/>
  <c r="I68" i="1"/>
  <c r="I32" i="1"/>
  <c r="I189" i="1"/>
  <c r="I115" i="1"/>
  <c r="I136" i="1"/>
  <c r="I186" i="1"/>
  <c r="I76" i="1"/>
  <c r="J109" i="1"/>
  <c r="J195" i="1"/>
  <c r="J20" i="1"/>
  <c r="J141" i="1"/>
  <c r="J129" i="1"/>
  <c r="J71" i="1"/>
  <c r="I50" i="1"/>
  <c r="J186" i="1"/>
  <c r="J120" i="1"/>
  <c r="I5" i="1"/>
  <c r="I92" i="1"/>
  <c r="J101" i="1"/>
  <c r="I124" i="1"/>
  <c r="J175" i="1"/>
  <c r="I158" i="1"/>
  <c r="J128" i="1"/>
  <c r="J78" i="1"/>
  <c r="I145" i="1"/>
  <c r="J83" i="1"/>
  <c r="I30" i="1"/>
  <c r="J76" i="1"/>
  <c r="I93" i="1"/>
  <c r="J23" i="1"/>
  <c r="I199" i="1"/>
  <c r="I43" i="1"/>
  <c r="I203" i="1"/>
  <c r="I148" i="1"/>
  <c r="I216" i="1"/>
  <c r="J178" i="1"/>
  <c r="J50" i="1"/>
  <c r="I17" i="1"/>
  <c r="J72" i="1"/>
  <c r="I180" i="1"/>
  <c r="J216" i="1"/>
  <c r="J5" i="1"/>
  <c r="I153" i="1"/>
  <c r="J92" i="1"/>
  <c r="J124" i="1"/>
  <c r="I105" i="1"/>
  <c r="J145" i="1"/>
  <c r="I188" i="1"/>
  <c r="J43" i="1"/>
  <c r="J203" i="1"/>
  <c r="I88" i="1"/>
  <c r="I34" i="1"/>
  <c r="I58" i="1"/>
  <c r="I217" i="1"/>
  <c r="I208" i="1"/>
  <c r="J183" i="1"/>
  <c r="J154" i="1"/>
  <c r="J161" i="1"/>
  <c r="J102" i="1"/>
  <c r="J171" i="1"/>
  <c r="J110" i="1"/>
  <c r="J113" i="1"/>
  <c r="J169" i="1"/>
  <c r="J2" i="1"/>
  <c r="J152" i="1"/>
  <c r="J140" i="1"/>
  <c r="J174" i="1"/>
  <c r="J117" i="1"/>
  <c r="I138" i="1"/>
  <c r="I72" i="1"/>
  <c r="I18" i="1"/>
  <c r="J148" i="1"/>
  <c r="I168" i="1"/>
  <c r="I181" i="1"/>
  <c r="I3" i="1"/>
  <c r="J158" i="1"/>
  <c r="I192" i="1"/>
  <c r="I212" i="1"/>
  <c r="J30" i="1"/>
  <c r="J93" i="1"/>
  <c r="J199" i="1"/>
  <c r="I63" i="1"/>
  <c r="J17" i="1"/>
  <c r="I109" i="1"/>
  <c r="J18" i="1"/>
  <c r="J180" i="1"/>
  <c r="J168" i="1"/>
  <c r="I195" i="1"/>
  <c r="J153" i="1"/>
  <c r="I25" i="1"/>
  <c r="J181" i="1"/>
  <c r="I20" i="1"/>
  <c r="J3" i="1"/>
  <c r="I85" i="1"/>
  <c r="J105" i="1"/>
  <c r="I141" i="1"/>
  <c r="J192" i="1"/>
  <c r="J212" i="1"/>
  <c r="I37" i="1"/>
  <c r="I4" i="1"/>
  <c r="J188" i="1"/>
  <c r="I129" i="1"/>
  <c r="I167" i="1"/>
  <c r="J63" i="1"/>
  <c r="I80" i="1"/>
  <c r="J88" i="1"/>
  <c r="J165" i="1"/>
  <c r="J34" i="1"/>
  <c r="I204" i="1"/>
  <c r="J58" i="1"/>
  <c r="I144" i="1"/>
  <c r="J44" i="1"/>
  <c r="J217" i="1"/>
  <c r="J208" i="1"/>
  <c r="I22" i="1"/>
  <c r="J57" i="1"/>
  <c r="I172" i="1"/>
  <c r="I183" i="1"/>
  <c r="J172" i="1"/>
  <c r="J176" i="1"/>
  <c r="I79" i="1"/>
  <c r="I151" i="1"/>
  <c r="J126" i="1"/>
  <c r="I179" i="1"/>
  <c r="I90" i="1"/>
  <c r="J28" i="1"/>
  <c r="I10" i="1"/>
  <c r="J116" i="1"/>
  <c r="I196" i="1"/>
  <c r="I59" i="1"/>
  <c r="J214" i="1"/>
  <c r="I56" i="1"/>
  <c r="J68" i="1"/>
  <c r="I166" i="1"/>
  <c r="I46" i="1"/>
  <c r="J32" i="1"/>
  <c r="I53" i="1"/>
  <c r="I21" i="1"/>
  <c r="J189" i="1"/>
  <c r="J103" i="1"/>
  <c r="I41" i="1"/>
  <c r="J115" i="1"/>
  <c r="I16" i="1"/>
  <c r="I111" i="1"/>
  <c r="J136" i="1"/>
  <c r="J138" i="1"/>
  <c r="I132" i="1"/>
  <c r="I160" i="1"/>
  <c r="J79" i="1"/>
  <c r="I100" i="1"/>
  <c r="J151" i="1"/>
  <c r="J179" i="1"/>
  <c r="J90" i="1"/>
  <c r="I99" i="1"/>
  <c r="J10" i="1"/>
  <c r="J196" i="1"/>
  <c r="I182" i="1"/>
  <c r="J59" i="1"/>
  <c r="I118" i="1"/>
  <c r="J56" i="1"/>
  <c r="I91" i="1"/>
  <c r="J166" i="1"/>
  <c r="I82" i="1"/>
  <c r="J46" i="1"/>
  <c r="I40" i="1"/>
  <c r="J53" i="1"/>
  <c r="I213" i="1"/>
  <c r="J21" i="1"/>
  <c r="J41" i="1"/>
  <c r="I52" i="1"/>
  <c r="J16" i="1"/>
  <c r="I162" i="1"/>
  <c r="J111" i="1"/>
  <c r="I170" i="1"/>
  <c r="J132" i="1"/>
  <c r="I184" i="1"/>
  <c r="I165" i="1"/>
  <c r="J204" i="1"/>
  <c r="J144" i="1"/>
  <c r="I44" i="1"/>
  <c r="J22" i="1"/>
  <c r="I57" i="1"/>
  <c r="I71" i="1"/>
  <c r="J160" i="1"/>
  <c r="J100" i="1"/>
  <c r="I154" i="1"/>
  <c r="I161" i="1"/>
  <c r="J99" i="1"/>
  <c r="I102" i="1"/>
  <c r="I171" i="1"/>
  <c r="J182" i="1"/>
  <c r="J118" i="1"/>
  <c r="I110" i="1"/>
  <c r="J91" i="1"/>
  <c r="I113" i="1"/>
  <c r="J82" i="1"/>
  <c r="J40" i="1"/>
  <c r="I169" i="1"/>
  <c r="J213" i="1"/>
  <c r="I2" i="1"/>
  <c r="I152" i="1"/>
  <c r="J52" i="1"/>
  <c r="J162" i="1"/>
  <c r="I140" i="1"/>
  <c r="J170" i="1"/>
  <c r="I174" i="1"/>
  <c r="J184" i="1"/>
  <c r="I117" i="1"/>
  <c r="H211" i="1"/>
  <c r="H24" i="1"/>
  <c r="H131" i="1"/>
  <c r="H137" i="1"/>
  <c r="H13" i="1"/>
  <c r="H66" i="1"/>
  <c r="H81" i="1"/>
  <c r="H210" i="1"/>
  <c r="H201" i="1"/>
  <c r="H39" i="1"/>
  <c r="H12" i="1"/>
  <c r="H36" i="1"/>
  <c r="H200" i="1"/>
  <c r="H219" i="1"/>
  <c r="H163" i="1"/>
  <c r="H139" i="1"/>
  <c r="H215" i="1"/>
  <c r="H149" i="1"/>
  <c r="H187" i="1"/>
  <c r="H159" i="1"/>
  <c r="H112" i="1"/>
  <c r="H108" i="1"/>
  <c r="H31" i="1"/>
  <c r="H33" i="1"/>
  <c r="H202" i="1"/>
  <c r="H14" i="1"/>
  <c r="H54" i="1"/>
  <c r="H133" i="1"/>
  <c r="H60" i="1"/>
  <c r="H49" i="1"/>
  <c r="H98" i="1"/>
  <c r="H107" i="1"/>
  <c r="H130" i="1"/>
  <c r="H143" i="1"/>
  <c r="H185" i="1"/>
  <c r="H19" i="1"/>
  <c r="H95" i="1"/>
  <c r="H209" i="1"/>
  <c r="H198" i="1"/>
  <c r="H96" i="1"/>
  <c r="H61" i="1"/>
  <c r="H123" i="1"/>
  <c r="H45" i="1"/>
  <c r="H26" i="1"/>
  <c r="H38" i="1"/>
  <c r="H65" i="1"/>
  <c r="H9" i="1"/>
  <c r="H122" i="1"/>
  <c r="H67" i="1"/>
  <c r="H42" i="1"/>
  <c r="H77" i="1"/>
  <c r="H87" i="1"/>
  <c r="H94" i="1"/>
  <c r="H8" i="1"/>
  <c r="H55" i="1"/>
  <c r="H104" i="1"/>
  <c r="H121" i="1"/>
  <c r="H119" i="1"/>
  <c r="H29" i="1"/>
  <c r="H15" i="1"/>
  <c r="H173" i="1"/>
  <c r="H48" i="1"/>
  <c r="H97" i="1"/>
  <c r="H135" i="1"/>
  <c r="H106" i="1"/>
  <c r="H206" i="1"/>
  <c r="H70" i="1"/>
  <c r="H177" i="1"/>
  <c r="H114" i="1"/>
  <c r="H74" i="1"/>
  <c r="H197" i="1"/>
  <c r="H164" i="1"/>
  <c r="H150" i="1"/>
  <c r="H86" i="1"/>
  <c r="H62" i="1"/>
  <c r="H205" i="1"/>
  <c r="H142" i="1"/>
  <c r="H194" i="1"/>
  <c r="H218" i="1"/>
  <c r="H156" i="1"/>
  <c r="H193" i="1"/>
  <c r="H7" i="1"/>
  <c r="H191" i="1"/>
  <c r="H47" i="1"/>
  <c r="H89" i="1"/>
  <c r="H207" i="1"/>
  <c r="H27" i="1"/>
  <c r="H146" i="1"/>
  <c r="H51" i="1"/>
  <c r="H84" i="1"/>
  <c r="H11" i="1"/>
  <c r="H69" i="1"/>
  <c r="H155" i="1"/>
  <c r="H127" i="1"/>
  <c r="H190" i="1"/>
  <c r="H147" i="1"/>
  <c r="H64" i="1"/>
  <c r="H6" i="1"/>
  <c r="H73" i="1"/>
  <c r="H157" i="1"/>
  <c r="H125" i="1"/>
  <c r="H134" i="1"/>
  <c r="H35" i="1"/>
  <c r="B304" i="1"/>
  <c r="B303" i="1"/>
  <c r="B302" i="1"/>
  <c r="B301" i="1"/>
  <c r="B300" i="1"/>
  <c r="B299" i="1"/>
  <c r="B298" i="1"/>
  <c r="B297" i="1"/>
  <c r="B296" i="1"/>
  <c r="B295" i="1"/>
  <c r="B294" i="1"/>
  <c r="B293" i="1"/>
  <c r="B292" i="1"/>
  <c r="B291" i="1"/>
  <c r="B290" i="1"/>
  <c r="B117" i="1"/>
  <c r="B184" i="1"/>
  <c r="B132" i="1"/>
  <c r="B138" i="1"/>
  <c r="B174" i="1"/>
  <c r="B286" i="1"/>
  <c r="B285" i="1"/>
  <c r="B284" i="1"/>
  <c r="B283" i="1"/>
  <c r="B282" i="1"/>
  <c r="B281" i="1"/>
  <c r="B280" i="1"/>
  <c r="B279" i="1"/>
  <c r="B278" i="1"/>
  <c r="B277" i="1"/>
  <c r="B136" i="1"/>
  <c r="B274" i="1"/>
  <c r="B170" i="1"/>
  <c r="B111" i="1"/>
  <c r="B251" i="1"/>
  <c r="B140" i="1"/>
  <c r="B162" i="1"/>
  <c r="B16" i="1"/>
  <c r="B115" i="1"/>
  <c r="B253" i="1"/>
  <c r="B52" i="1"/>
  <c r="B41" i="1"/>
  <c r="B103" i="1"/>
  <c r="B152" i="1"/>
  <c r="B269" i="1"/>
  <c r="B273" i="1"/>
  <c r="B189" i="1"/>
  <c r="B275" i="1"/>
  <c r="B243" i="1"/>
  <c r="B21" i="1"/>
  <c r="B272" i="1"/>
  <c r="B2" i="1"/>
  <c r="B213" i="1"/>
  <c r="B53" i="1"/>
  <c r="B32" i="1"/>
  <c r="B169" i="1"/>
  <c r="B40" i="1"/>
  <c r="B46" i="1"/>
  <c r="B246" i="1"/>
  <c r="B231" i="1"/>
  <c r="B82" i="1"/>
  <c r="B166" i="1"/>
  <c r="B68" i="1"/>
  <c r="B113" i="1"/>
  <c r="B91" i="1"/>
  <c r="B56" i="1"/>
  <c r="B214" i="1"/>
  <c r="B110" i="1"/>
  <c r="B118" i="1"/>
  <c r="B59" i="1"/>
  <c r="B232" i="1"/>
  <c r="B235" i="1"/>
  <c r="B182" i="1"/>
  <c r="B196" i="1"/>
  <c r="B116" i="1"/>
  <c r="B171" i="1"/>
  <c r="B228" i="1"/>
  <c r="B10" i="1"/>
  <c r="B28" i="1"/>
  <c r="B102" i="1"/>
  <c r="B99" i="1"/>
  <c r="B90" i="1"/>
  <c r="B289" i="1"/>
  <c r="B288" i="1"/>
  <c r="B287" i="1"/>
  <c r="B179" i="1"/>
  <c r="B126" i="1"/>
  <c r="B161" i="1"/>
  <c r="B258" i="1"/>
  <c r="B151" i="1"/>
  <c r="B250" i="1"/>
  <c r="B154" i="1"/>
  <c r="B100" i="1"/>
  <c r="B79" i="1"/>
  <c r="B176" i="1"/>
  <c r="B263" i="1"/>
  <c r="B160" i="1"/>
  <c r="B225" i="1"/>
  <c r="B172" i="1"/>
  <c r="B71" i="1"/>
  <c r="B248" i="1"/>
  <c r="B183" i="1"/>
  <c r="B268" i="1"/>
  <c r="B57" i="1"/>
  <c r="B22" i="1"/>
  <c r="B208" i="1"/>
  <c r="B217" i="1"/>
  <c r="B44" i="1"/>
  <c r="B144" i="1"/>
  <c r="B58" i="1"/>
  <c r="B240" i="1"/>
  <c r="B233" i="1"/>
  <c r="B204" i="1"/>
  <c r="B262" i="1"/>
  <c r="B34" i="1"/>
  <c r="B165" i="1"/>
  <c r="B88" i="1"/>
  <c r="B203" i="1"/>
  <c r="B230" i="1"/>
  <c r="B80" i="1"/>
  <c r="B63" i="1"/>
  <c r="B43" i="1"/>
  <c r="B249" i="1"/>
  <c r="B167" i="1"/>
  <c r="B221" i="1"/>
  <c r="B199" i="1"/>
  <c r="B23" i="1"/>
  <c r="B129" i="1"/>
  <c r="B188" i="1"/>
  <c r="B93" i="1"/>
  <c r="B76" i="1"/>
  <c r="B4" i="1"/>
  <c r="B242" i="1"/>
  <c r="B30" i="1"/>
  <c r="B83" i="1"/>
  <c r="B37" i="1"/>
  <c r="B212" i="1"/>
  <c r="B145" i="1"/>
  <c r="B78" i="1"/>
  <c r="B264" i="1"/>
  <c r="B192" i="1"/>
  <c r="B236" i="1"/>
  <c r="B128" i="1"/>
  <c r="B141" i="1"/>
  <c r="B105" i="1"/>
  <c r="B158" i="1"/>
  <c r="B175" i="1"/>
  <c r="B85" i="1"/>
  <c r="B3" i="1"/>
  <c r="B124" i="1"/>
  <c r="B101" i="1"/>
  <c r="B20" i="1"/>
  <c r="B181" i="1"/>
  <c r="B92" i="1"/>
  <c r="B247" i="1"/>
  <c r="B25" i="1"/>
  <c r="B153" i="1"/>
  <c r="B5" i="1"/>
  <c r="B178" i="1"/>
  <c r="B195" i="1"/>
  <c r="B168" i="1"/>
  <c r="B216" i="1"/>
  <c r="B260" i="1"/>
  <c r="B276" i="1"/>
  <c r="B180" i="1"/>
  <c r="B148" i="1"/>
  <c r="B120" i="1"/>
  <c r="B254" i="1"/>
  <c r="B18" i="1"/>
  <c r="B72" i="1"/>
  <c r="B186" i="1"/>
  <c r="B109" i="1"/>
  <c r="B17" i="1"/>
  <c r="B50" i="1"/>
  <c r="B205" i="1"/>
  <c r="B39" i="1"/>
  <c r="B270" i="1"/>
  <c r="B234" i="1"/>
  <c r="B163" i="1"/>
  <c r="B139" i="1"/>
  <c r="B215" i="1"/>
  <c r="B149" i="1"/>
  <c r="B187" i="1"/>
  <c r="B159" i="1"/>
  <c r="B112" i="1"/>
  <c r="B108" i="1"/>
  <c r="B31" i="1"/>
  <c r="B33" i="1"/>
  <c r="B211" i="1"/>
  <c r="B24" i="1"/>
  <c r="B201" i="1"/>
  <c r="B252" i="1"/>
  <c r="B259" i="1"/>
  <c r="B131" i="1"/>
  <c r="B137" i="1"/>
  <c r="B13" i="1"/>
  <c r="B66" i="1"/>
  <c r="B202" i="1"/>
  <c r="B14" i="1"/>
  <c r="B237" i="1"/>
  <c r="G211" i="1"/>
  <c r="F23" i="1"/>
  <c r="F128" i="1"/>
  <c r="F101" i="1"/>
  <c r="F120" i="1"/>
  <c r="F78" i="1"/>
  <c r="F178" i="1"/>
  <c r="F214" i="1"/>
  <c r="F103" i="1"/>
  <c r="F116" i="1"/>
  <c r="F175" i="1"/>
  <c r="F83" i="1"/>
  <c r="I120" i="1" l="1"/>
  <c r="I83" i="1"/>
  <c r="I175" i="1"/>
  <c r="I178" i="1"/>
  <c r="I23" i="1"/>
  <c r="I78" i="1"/>
  <c r="I101" i="1"/>
  <c r="I103" i="1"/>
  <c r="I128" i="1"/>
  <c r="I116" i="1"/>
  <c r="I214" i="1"/>
  <c r="F131" i="1"/>
  <c r="G69" i="1"/>
  <c r="G125" i="1"/>
  <c r="G39" i="1"/>
  <c r="F39" i="1"/>
  <c r="F211" i="1"/>
  <c r="G127" i="1"/>
  <c r="G51" i="1"/>
  <c r="G84" i="1"/>
  <c r="F98" i="1"/>
  <c r="G45" i="1"/>
  <c r="G33" i="1"/>
  <c r="F156" i="1"/>
  <c r="F219" i="1"/>
  <c r="F137" i="1"/>
  <c r="G185" i="1"/>
  <c r="G47" i="1"/>
  <c r="G49" i="1"/>
  <c r="G66" i="1"/>
  <c r="F55" i="1"/>
  <c r="G55" i="1"/>
  <c r="F194" i="1"/>
  <c r="F107" i="1"/>
  <c r="F19" i="1"/>
  <c r="F66" i="1"/>
  <c r="G201" i="1"/>
  <c r="F106" i="1"/>
  <c r="G122" i="1"/>
  <c r="F191" i="1"/>
  <c r="G206" i="1"/>
  <c r="G119" i="1"/>
  <c r="G133" i="1"/>
  <c r="G156" i="1"/>
  <c r="F9" i="1"/>
  <c r="G61" i="1"/>
  <c r="F70" i="1"/>
  <c r="F218" i="1"/>
  <c r="G11" i="1"/>
  <c r="G38" i="1"/>
  <c r="G64" i="1"/>
  <c r="F60" i="1"/>
  <c r="G62" i="1"/>
  <c r="F143" i="1"/>
  <c r="F81" i="1"/>
  <c r="G215" i="1"/>
  <c r="G12" i="1"/>
  <c r="F64" i="1"/>
  <c r="G191" i="1"/>
  <c r="F205" i="1"/>
  <c r="G67" i="1"/>
  <c r="F197" i="1"/>
  <c r="G54" i="1"/>
  <c r="F54" i="1"/>
  <c r="G147" i="1"/>
  <c r="F65" i="1"/>
  <c r="F7" i="1"/>
  <c r="F36" i="1"/>
  <c r="F26" i="1"/>
  <c r="F125" i="1"/>
  <c r="F89" i="1"/>
  <c r="G87" i="1"/>
  <c r="F87" i="1"/>
  <c r="G149" i="1"/>
  <c r="F84" i="1"/>
  <c r="F127" i="1"/>
  <c r="G112" i="1"/>
  <c r="G86" i="1"/>
  <c r="F215" i="1"/>
  <c r="G135" i="1"/>
  <c r="G15" i="1"/>
  <c r="F112" i="1"/>
  <c r="F173" i="1"/>
  <c r="F177" i="1"/>
  <c r="G114" i="1"/>
  <c r="F6" i="1"/>
  <c r="G24" i="1"/>
  <c r="G73" i="1"/>
  <c r="G31" i="1"/>
  <c r="G70" i="1"/>
  <c r="G8" i="1"/>
  <c r="G131" i="1"/>
  <c r="G97" i="1"/>
  <c r="G193" i="1"/>
  <c r="F130" i="1"/>
  <c r="G7" i="1"/>
  <c r="F163" i="1"/>
  <c r="G77" i="1"/>
  <c r="F201" i="1"/>
  <c r="G142" i="1"/>
  <c r="G60" i="1"/>
  <c r="F95" i="1"/>
  <c r="G150" i="1"/>
  <c r="F119" i="1"/>
  <c r="G143" i="1"/>
  <c r="F14" i="1"/>
  <c r="G177" i="1"/>
  <c r="G26" i="1"/>
  <c r="G29" i="1"/>
  <c r="G139" i="1"/>
  <c r="F31" i="1"/>
  <c r="F42" i="1"/>
  <c r="G163" i="1"/>
  <c r="F61" i="1"/>
  <c r="G187" i="1"/>
  <c r="F142" i="1"/>
  <c r="F185" i="1"/>
  <c r="G219" i="1"/>
  <c r="F149" i="1"/>
  <c r="F210" i="1"/>
  <c r="F15" i="1"/>
  <c r="G65" i="1"/>
  <c r="F187" i="1"/>
  <c r="F123" i="1"/>
  <c r="F135" i="1"/>
  <c r="F206" i="1"/>
  <c r="F114" i="1"/>
  <c r="F69" i="1"/>
  <c r="G81" i="1"/>
  <c r="F51" i="1"/>
  <c r="F48" i="1"/>
  <c r="F77" i="1"/>
  <c r="F159" i="1"/>
  <c r="G14" i="1"/>
  <c r="F190" i="1"/>
  <c r="F45" i="1"/>
  <c r="F122" i="1"/>
  <c r="F146" i="1"/>
  <c r="F49" i="1"/>
  <c r="G155" i="1"/>
  <c r="F121" i="1"/>
  <c r="F147" i="1"/>
  <c r="F29" i="1"/>
  <c r="G130" i="1"/>
  <c r="G89" i="1"/>
  <c r="G200" i="1"/>
  <c r="F35" i="1"/>
  <c r="F97" i="1"/>
  <c r="G209" i="1"/>
  <c r="G123" i="1"/>
  <c r="G137" i="1"/>
  <c r="F62" i="1"/>
  <c r="G194" i="1"/>
  <c r="G95" i="1"/>
  <c r="G96" i="1"/>
  <c r="G107" i="1"/>
  <c r="F86" i="1"/>
  <c r="G121" i="1"/>
  <c r="G108" i="1"/>
  <c r="F198" i="1"/>
  <c r="G98" i="1"/>
  <c r="F94" i="1"/>
  <c r="F164" i="1"/>
  <c r="G146" i="1"/>
  <c r="G106" i="1"/>
  <c r="G19" i="1"/>
  <c r="F150" i="1"/>
  <c r="G198" i="1"/>
  <c r="F8" i="1"/>
  <c r="F12" i="1"/>
  <c r="G173" i="1"/>
  <c r="F74" i="1"/>
  <c r="G159" i="1"/>
  <c r="G13" i="1"/>
  <c r="F67" i="1"/>
  <c r="F155" i="1"/>
  <c r="G35" i="1"/>
  <c r="G157" i="1"/>
  <c r="G207" i="1"/>
  <c r="G164" i="1"/>
  <c r="F193" i="1"/>
  <c r="F139" i="1"/>
  <c r="F24" i="1"/>
  <c r="G218" i="1"/>
  <c r="F11" i="1"/>
  <c r="G190" i="1"/>
  <c r="F96" i="1"/>
  <c r="F133" i="1"/>
  <c r="G36" i="1"/>
  <c r="F38" i="1"/>
  <c r="G6" i="1"/>
  <c r="G27" i="1"/>
  <c r="G134" i="1"/>
  <c r="F108" i="1"/>
  <c r="G205" i="1"/>
  <c r="G74" i="1"/>
  <c r="F207" i="1"/>
  <c r="F202" i="1"/>
  <c r="G42" i="1"/>
  <c r="G210" i="1"/>
  <c r="G197" i="1"/>
  <c r="F200" i="1"/>
  <c r="F13" i="1"/>
  <c r="G104" i="1"/>
  <c r="F209" i="1"/>
  <c r="G202" i="1"/>
  <c r="F47" i="1"/>
  <c r="F157" i="1"/>
  <c r="F104" i="1"/>
  <c r="G94" i="1"/>
  <c r="F33" i="1"/>
  <c r="G48" i="1"/>
  <c r="F27" i="1"/>
  <c r="G9" i="1"/>
  <c r="F73" i="1"/>
  <c r="I139" i="1" l="1"/>
  <c r="I36" i="1"/>
  <c r="J66" i="1"/>
  <c r="J149" i="1"/>
  <c r="I215" i="1"/>
  <c r="J219" i="1"/>
  <c r="I200" i="1"/>
  <c r="J39" i="1"/>
  <c r="J81" i="1"/>
  <c r="I66" i="1"/>
  <c r="J131" i="1"/>
  <c r="J215" i="1"/>
  <c r="J200" i="1"/>
  <c r="I201" i="1"/>
  <c r="I24" i="1"/>
  <c r="I163" i="1"/>
  <c r="J36" i="1"/>
  <c r="I210" i="1"/>
  <c r="J13" i="1"/>
  <c r="I137" i="1"/>
  <c r="J24" i="1"/>
  <c r="I211" i="1"/>
  <c r="I13" i="1"/>
  <c r="J139" i="1"/>
  <c r="I12" i="1"/>
  <c r="J201" i="1"/>
  <c r="I149" i="1"/>
  <c r="J163" i="1"/>
  <c r="I219" i="1"/>
  <c r="J12" i="1"/>
  <c r="I39" i="1"/>
  <c r="J210" i="1"/>
  <c r="I81" i="1"/>
  <c r="J137" i="1"/>
  <c r="I131" i="1"/>
  <c r="J211" i="1"/>
  <c r="J8" i="1"/>
  <c r="J42" i="1"/>
  <c r="J65" i="1"/>
  <c r="J45" i="1"/>
  <c r="J96" i="1"/>
  <c r="J95" i="1"/>
  <c r="J185" i="1"/>
  <c r="J107" i="1"/>
  <c r="J14" i="1"/>
  <c r="J108" i="1"/>
  <c r="J134" i="1"/>
  <c r="I35" i="1"/>
  <c r="J125" i="1"/>
  <c r="I6" i="1"/>
  <c r="I147" i="1"/>
  <c r="I69" i="1"/>
  <c r="I146" i="1"/>
  <c r="I207" i="1"/>
  <c r="I191" i="1"/>
  <c r="I194" i="1"/>
  <c r="I205" i="1"/>
  <c r="I62" i="1"/>
  <c r="I164" i="1"/>
  <c r="I177" i="1"/>
  <c r="I106" i="1"/>
  <c r="I135" i="1"/>
  <c r="I173" i="1"/>
  <c r="I15" i="1"/>
  <c r="I121" i="1"/>
  <c r="I94" i="1"/>
  <c r="I67" i="1"/>
  <c r="I38" i="1"/>
  <c r="I123" i="1"/>
  <c r="I143" i="1"/>
  <c r="I98" i="1"/>
  <c r="I133" i="1"/>
  <c r="I202" i="1"/>
  <c r="I112" i="1"/>
  <c r="I125" i="1"/>
  <c r="I157" i="1"/>
  <c r="I73" i="1"/>
  <c r="I190" i="1"/>
  <c r="I11" i="1"/>
  <c r="I27" i="1"/>
  <c r="I47" i="1"/>
  <c r="I218" i="1"/>
  <c r="I197" i="1"/>
  <c r="J35" i="1"/>
  <c r="J157" i="1"/>
  <c r="J73" i="1"/>
  <c r="J6" i="1"/>
  <c r="I64" i="1"/>
  <c r="J147" i="1"/>
  <c r="J190" i="1"/>
  <c r="I127" i="1"/>
  <c r="J155" i="1"/>
  <c r="J69" i="1"/>
  <c r="J11" i="1"/>
  <c r="I84" i="1"/>
  <c r="J51" i="1"/>
  <c r="J146" i="1"/>
  <c r="J27" i="1"/>
  <c r="J207" i="1"/>
  <c r="J89" i="1"/>
  <c r="J47" i="1"/>
  <c r="J191" i="1"/>
  <c r="I7" i="1"/>
  <c r="J193" i="1"/>
  <c r="I156" i="1"/>
  <c r="J218" i="1"/>
  <c r="J194" i="1"/>
  <c r="I142" i="1"/>
  <c r="J205" i="1"/>
  <c r="J62" i="1"/>
  <c r="I86" i="1"/>
  <c r="J150" i="1"/>
  <c r="J164" i="1"/>
  <c r="J197" i="1"/>
  <c r="I74" i="1"/>
  <c r="J114" i="1"/>
  <c r="J177" i="1"/>
  <c r="I70" i="1"/>
  <c r="J206" i="1"/>
  <c r="J106" i="1"/>
  <c r="J135" i="1"/>
  <c r="I97" i="1"/>
  <c r="J48" i="1"/>
  <c r="J173" i="1"/>
  <c r="J15" i="1"/>
  <c r="I29" i="1"/>
  <c r="J119" i="1"/>
  <c r="J121" i="1"/>
  <c r="I104" i="1"/>
  <c r="J55" i="1"/>
  <c r="I8" i="1"/>
  <c r="J77" i="1"/>
  <c r="I42" i="1"/>
  <c r="J9" i="1"/>
  <c r="I65" i="1"/>
  <c r="I45" i="1"/>
  <c r="J61" i="1"/>
  <c r="I96" i="1"/>
  <c r="J209" i="1"/>
  <c r="I95" i="1"/>
  <c r="I185" i="1"/>
  <c r="J130" i="1"/>
  <c r="I107" i="1"/>
  <c r="J60" i="1"/>
  <c r="I14" i="1"/>
  <c r="J31" i="1"/>
  <c r="I108" i="1"/>
  <c r="J187" i="1"/>
  <c r="J94" i="1"/>
  <c r="I87" i="1"/>
  <c r="J67" i="1"/>
  <c r="I122" i="1"/>
  <c r="J38" i="1"/>
  <c r="I26" i="1"/>
  <c r="J123" i="1"/>
  <c r="I198" i="1"/>
  <c r="I19" i="1"/>
  <c r="J143" i="1"/>
  <c r="J98" i="1"/>
  <c r="I49" i="1"/>
  <c r="J133" i="1"/>
  <c r="I54" i="1"/>
  <c r="J202" i="1"/>
  <c r="I33" i="1"/>
  <c r="J112" i="1"/>
  <c r="I159" i="1"/>
  <c r="J64" i="1"/>
  <c r="J127" i="1"/>
  <c r="I155" i="1"/>
  <c r="J84" i="1"/>
  <c r="I51" i="1"/>
  <c r="I89" i="1"/>
  <c r="J7" i="1"/>
  <c r="I193" i="1"/>
  <c r="J156" i="1"/>
  <c r="J142" i="1"/>
  <c r="J86" i="1"/>
  <c r="I150" i="1"/>
  <c r="J74" i="1"/>
  <c r="I114" i="1"/>
  <c r="J70" i="1"/>
  <c r="I206" i="1"/>
  <c r="J97" i="1"/>
  <c r="I48" i="1"/>
  <c r="J29" i="1"/>
  <c r="I119" i="1"/>
  <c r="J104" i="1"/>
  <c r="I55" i="1"/>
  <c r="J87" i="1"/>
  <c r="I77" i="1"/>
  <c r="J122" i="1"/>
  <c r="I9" i="1"/>
  <c r="J26" i="1"/>
  <c r="I61" i="1"/>
  <c r="J198" i="1"/>
  <c r="I209" i="1"/>
  <c r="J19" i="1"/>
  <c r="I130" i="1"/>
  <c r="J49" i="1"/>
  <c r="I60" i="1"/>
  <c r="J54" i="1"/>
  <c r="J33" i="1"/>
  <c r="I31" i="1"/>
  <c r="J159" i="1"/>
  <c r="I187" i="1"/>
  <c r="H75" i="1"/>
  <c r="B133" i="1"/>
  <c r="B256" i="1"/>
  <c r="B266" i="1"/>
  <c r="B150" i="1"/>
  <c r="B38" i="1"/>
  <c r="B64" i="1"/>
  <c r="B173" i="1"/>
  <c r="B244" i="1"/>
  <c r="B61" i="1"/>
  <c r="B9" i="1"/>
  <c r="B122" i="1"/>
  <c r="B255" i="1"/>
  <c r="B206" i="1"/>
  <c r="B86" i="1"/>
  <c r="B70" i="1"/>
  <c r="B106" i="1"/>
  <c r="B193" i="1"/>
  <c r="B238" i="1"/>
  <c r="F75" i="1"/>
  <c r="G75" i="1"/>
  <c r="F134" i="1"/>
  <c r="I134" i="1" l="1"/>
  <c r="J75" i="1"/>
  <c r="I75" i="1"/>
  <c r="B107" i="1"/>
  <c r="B12" i="1"/>
  <c r="B65" i="1"/>
  <c r="B227" i="1"/>
  <c r="B210" i="1"/>
  <c r="B143" i="1"/>
  <c r="B224" i="1"/>
  <c r="B207" i="1"/>
  <c r="B7" i="1"/>
  <c r="B190" i="1"/>
  <c r="B95" i="1"/>
  <c r="B11" i="1"/>
  <c r="B87" i="1"/>
  <c r="B164" i="1"/>
  <c r="B29" i="1"/>
  <c r="B245" i="1"/>
  <c r="B26" i="1"/>
  <c r="B45" i="1"/>
  <c r="B62" i="1"/>
  <c r="B265" i="1"/>
  <c r="B239" i="1"/>
  <c r="B198" i="1"/>
  <c r="B200" i="1"/>
  <c r="B146" i="1"/>
  <c r="B81" i="1"/>
  <c r="B15" i="1"/>
  <c r="B135" i="1"/>
  <c r="B191" i="1"/>
  <c r="B84" i="1"/>
  <c r="B60" i="1"/>
  <c r="B220" i="1"/>
  <c r="B125" i="1"/>
  <c r="B94" i="1"/>
  <c r="B36" i="1"/>
  <c r="B261" i="1"/>
  <c r="B54" i="1"/>
  <c r="B6" i="1"/>
  <c r="B223" i="1"/>
  <c r="B74" i="1"/>
  <c r="B157" i="1"/>
  <c r="B185" i="1"/>
  <c r="B35" i="1"/>
  <c r="B209" i="1"/>
  <c r="B271" i="1"/>
  <c r="B27" i="1"/>
  <c r="B48" i="1"/>
  <c r="B257" i="1"/>
  <c r="B97" i="1"/>
  <c r="B177" i="1"/>
  <c r="B89" i="1"/>
  <c r="B123" i="1"/>
  <c r="B226" i="1"/>
  <c r="B142" i="1"/>
  <c r="B134" i="1"/>
  <c r="B121" i="1"/>
  <c r="B104" i="1"/>
  <c r="B8" i="1"/>
  <c r="B73" i="1"/>
  <c r="B51" i="1"/>
  <c r="B69" i="1"/>
  <c r="B47" i="1"/>
  <c r="B98" i="1"/>
  <c r="B119" i="1"/>
  <c r="B241" i="1"/>
  <c r="B229" i="1"/>
  <c r="B55" i="1"/>
  <c r="B127" i="1"/>
  <c r="B49" i="1"/>
  <c r="B156" i="1"/>
  <c r="B222" i="1"/>
  <c r="B147" i="1"/>
  <c r="B75" i="1"/>
  <c r="B219" i="1"/>
  <c r="B267" i="1"/>
  <c r="B194" i="1"/>
  <c r="B130" i="1"/>
  <c r="B77" i="1"/>
  <c r="B19" i="1"/>
  <c r="B197" i="1"/>
  <c r="B114" i="1"/>
  <c r="B42" i="1"/>
  <c r="B67" i="1"/>
  <c r="B155" i="1"/>
  <c r="B96" i="1"/>
  <c r="B218" i="1"/>
</calcChain>
</file>

<file path=xl/sharedStrings.xml><?xml version="1.0" encoding="utf-8"?>
<sst xmlns="http://schemas.openxmlformats.org/spreadsheetml/2006/main" count="1318" uniqueCount="656">
  <si>
    <t>cons</t>
  </si>
  <si>
    <t>fName</t>
  </si>
  <si>
    <t>long</t>
  </si>
  <si>
    <t>Destination</t>
  </si>
  <si>
    <t>OriginPath</t>
  </si>
  <si>
    <t>cmdOne</t>
  </si>
  <si>
    <t>cmdTwo</t>
  </si>
  <si>
    <t>cmdThree</t>
  </si>
  <si>
    <t>New Destination</t>
  </si>
  <si>
    <t>New Local Path</t>
  </si>
  <si>
    <t>RS_IPP 174Rev.docx</t>
  </si>
  <si>
    <t>Documentos compartidos/peticiones/Escaneo 2025/174/RS_IPP 174Rev.docx</t>
  </si>
  <si>
    <t>Escaneo 2025\174\RS_IPP 174Rev.docx</t>
  </si>
  <si>
    <t>RS_O IPP 174 OFICIO R F.pdf</t>
  </si>
  <si>
    <t>Documentos compartidos/peticiones/Escaneo 2025/174/RS_O IPP 174 OFICIO R F.pdf</t>
  </si>
  <si>
    <t>Escaneo 2025\174\RS_O IPP 174 OFICIO R F.pdf</t>
  </si>
  <si>
    <t>RS_RS_IPP_069-2.docx</t>
  </si>
  <si>
    <t>Documentos compartidos/peticiones/Escaneo 2025/069/2/RS_RS_IPP_069-2.docx</t>
  </si>
  <si>
    <t>Escaneo 2025\069\2\RS_RS_IPP_069-2.docx</t>
  </si>
  <si>
    <t>EN_OFICIO LXVISAT1552025.pdf</t>
  </si>
  <si>
    <t>Documentos compartidos/peticiones/Escaneo 2025/228/EN_OFICIO LXVISAT1552025.pdf</t>
  </si>
  <si>
    <t>Escaneo 2025\228\EN_OFICIO LXVISAT1552025.pdf</t>
  </si>
  <si>
    <t>RS_O IPP 060 OFICIO.docx</t>
  </si>
  <si>
    <t>Documentos compartidos/peticiones/Escaneo 2025/060/RS_O IPP 060 OFICIO.docx</t>
  </si>
  <si>
    <t>Escaneo 2025\060\RS_O IPP 060 OFICIO.docx</t>
  </si>
  <si>
    <t>EN_FOLIO 002180.pdf</t>
  </si>
  <si>
    <t>Documentos compartidos/peticiones/Escaneo 2025/212/EN_FOLIO 002180.pdf</t>
  </si>
  <si>
    <t>Escaneo 2025\212\EN_FOLIO 002180.pdf</t>
  </si>
  <si>
    <t>EN_FOLIO 002174.pdf</t>
  </si>
  <si>
    <t>Documentos compartidos/peticiones/Escaneo 2025/205/EN_FOLIO 002174.pdf</t>
  </si>
  <si>
    <t>Escaneo 2025\205\EN_FOLIO 002174.pdf</t>
  </si>
  <si>
    <t>EN_FOLIO 002188.pdf</t>
  </si>
  <si>
    <t>Documentos compartidos/peticiones/Escaneo 2025/223/EN_FOLIO 002188.pdf</t>
  </si>
  <si>
    <t>Escaneo 2025\223\EN_FOLIO 002188.pdf</t>
  </si>
  <si>
    <t>RS_O IPP 083 OFICIO F.pdf</t>
  </si>
  <si>
    <t>Documentos compartidos/peticiones/Escaneo 2025/083/RS_O IPP 083 OFICIO F.pdf</t>
  </si>
  <si>
    <t>Escaneo 2025\083\RS_O IPP 083 OFICIO F.pdf</t>
  </si>
  <si>
    <t>RS_OIPP 208 .docx</t>
  </si>
  <si>
    <t>Documentos compartidos/peticiones/Escaneo 2025/208/RS_OIPP 208 .docx</t>
  </si>
  <si>
    <t>Escaneo 2025\208\RS_OIPP 208 .docx</t>
  </si>
  <si>
    <t>EN_FOLIO 002176.pdf</t>
  </si>
  <si>
    <t>Documentos compartidos/peticiones/Escaneo 2025/208/EN_FOLIO 002176.pdf</t>
  </si>
  <si>
    <t>Escaneo 2025\208\EN_FOLIO 002176.pdf</t>
  </si>
  <si>
    <t>RS_O IPP 200 2025 OFICIO F.pdf</t>
  </si>
  <si>
    <t>Documentos compartidos/peticiones/Escaneo 2025/200/RS_O IPP 200 2025 OFICIO F.pdf</t>
  </si>
  <si>
    <t>Escaneo 2025\200\RS_O IPP 200 2025 OFICIO F.pdf</t>
  </si>
  <si>
    <t>RS_OIPP200 rev.docx</t>
  </si>
  <si>
    <t>Documentos compartidos/peticiones/Escaneo 2025/200/RS_OIPP200 rev.docx</t>
  </si>
  <si>
    <t>Escaneo 2025\200\RS_OIPP200 rev.docx</t>
  </si>
  <si>
    <t>EN_FOLIO 002196.pdf</t>
  </si>
  <si>
    <t>Documentos compartidos/peticiones/Escaneo 2025/230/3/EN_FOLIO 002196.pdf</t>
  </si>
  <si>
    <t>Escaneo 2025\230\3\EN_FOLIO 002196.pdf</t>
  </si>
  <si>
    <t>Documentos compartidos/peticiones/Escaneo 2025/230/4/EN_FOLIO 002196.pdf</t>
  </si>
  <si>
    <t>Escaneo 2025\230\4\EN_FOLIO 002196.pdf</t>
  </si>
  <si>
    <t>Documentos compartidos/peticiones/Escaneo 2025/230/1/EN_FOLIO 002196.pdf</t>
  </si>
  <si>
    <t>Escaneo 2025\230\1\EN_FOLIO 002196.pdf</t>
  </si>
  <si>
    <t>Documentos compartidos/peticiones/Escaneo 2025/230/2/EN_FOLIO 002196.pdf</t>
  </si>
  <si>
    <t>Escaneo 2025\230\2\EN_FOLIO 002196.pdf</t>
  </si>
  <si>
    <t>EN_FOLIO 002192.pdf</t>
  </si>
  <si>
    <t>Documentos compartidos/peticiones/Escaneo 2025/227/EN_FOLIO 002192.pdf</t>
  </si>
  <si>
    <t>Escaneo 2025\227\EN_FOLIO 002192.pdf</t>
  </si>
  <si>
    <t>EN_FOLIO 002181.pdf</t>
  </si>
  <si>
    <t>Documentos compartidos/peticiones/Escaneo 2025/213/EN_FOLIO 002181.pdf</t>
  </si>
  <si>
    <t>Escaneo 2025\213\EN_FOLIO 002181.pdf</t>
  </si>
  <si>
    <t>EN_FOLIO 002207.pdf</t>
  </si>
  <si>
    <t>Documentos compartidos/peticiones/Escaneo 2025/243/EN_FOLIO 002207.pdf</t>
  </si>
  <si>
    <t>Escaneo 2025\243\EN_FOLIO 002207.pdf</t>
  </si>
  <si>
    <t>RS_O_IPP 076.8 M.docx</t>
  </si>
  <si>
    <t>Documentos compartidos/peticiones/Escaneo 2025/076/8/RS_O_IPP 076.8 M.docx</t>
  </si>
  <si>
    <t>Escaneo 2025\076\8\RS_O_IPP 076.8 M.docx</t>
  </si>
  <si>
    <t>RS_IPP 076.10 2025.docx</t>
  </si>
  <si>
    <t>Documentos compartidos/peticiones/Escaneo 2025/076/10/RS_IPP 076.10 2025.docx</t>
  </si>
  <si>
    <t>Escaneo 2025\076\10\RS_IPP 076.10 2025.docx</t>
  </si>
  <si>
    <t>VL_IPP 132-4.docx</t>
  </si>
  <si>
    <t>Documentos compartidos/peticiones/Escaneo 2025/132/4/VL_IPP 132-4.docx</t>
  </si>
  <si>
    <t>Escaneo 2025\132\4\VL_IPP 132-4.docx</t>
  </si>
  <si>
    <t>EN_FOLIO 002189.pdf</t>
  </si>
  <si>
    <t>Documentos compartidos/peticiones/Escaneo 2025/224/EN_FOLIO 002189.pdf</t>
  </si>
  <si>
    <t>Escaneo 2025\224\EN_FOLIO 002189.pdf</t>
  </si>
  <si>
    <t>EN_FOLIO 002184.pdf</t>
  </si>
  <si>
    <t>Documentos compartidos/peticiones/Escaneo 2025/216/EN_FOLIO 002184.pdf</t>
  </si>
  <si>
    <t>Escaneo 2025\216\EN_FOLIO 002184.pdf</t>
  </si>
  <si>
    <t>EN_FOLIO 002197.pdf</t>
  </si>
  <si>
    <t>Documentos compartidos/peticiones/Escaneo 2025/231/3/EN_FOLIO 002197.pdf</t>
  </si>
  <si>
    <t>Escaneo 2025\231\3\EN_FOLIO 002197.pdf</t>
  </si>
  <si>
    <t>Documentos compartidos/peticiones/Escaneo 2025/231/4/EN_FOLIO 002197.pdf</t>
  </si>
  <si>
    <t>Escaneo 2025\231\4\EN_FOLIO 002197.pdf</t>
  </si>
  <si>
    <t>Documentos compartidos/peticiones/Escaneo 2025/231/1/EN_FOLIO 002197.pdf</t>
  </si>
  <si>
    <t>Escaneo 2025\231\1\EN_FOLIO 002197.pdf</t>
  </si>
  <si>
    <t>Documentos compartidos/peticiones/Escaneo 2025/231/2/EN_FOLIO 002197.pdf</t>
  </si>
  <si>
    <t>Escaneo 2025\231\2\EN_FOLIO 002197.pdf</t>
  </si>
  <si>
    <t>EN_FOLIO 002212.pdf</t>
  </si>
  <si>
    <t>Documentos compartidos/peticiones/Escaneo 2025/249/EN_FOLIO 002212.pdf</t>
  </si>
  <si>
    <t>Escaneo 2025\249\EN_FOLIO 002212.pdf</t>
  </si>
  <si>
    <t>EN_FOLIO 002179.pdf</t>
  </si>
  <si>
    <t>Documentos compartidos/peticiones/Escaneo 2025/211/EN_FOLIO 002179.pdf</t>
  </si>
  <si>
    <t>Escaneo 2025\211\EN_FOLIO 002179.pdf</t>
  </si>
  <si>
    <t>VL_RS IFO 192-2025.pdf</t>
  </si>
  <si>
    <t>Documentos compartidos/peticiones/Escaneo 2025/192/VL_RS IFO 192-2025.pdf</t>
  </si>
  <si>
    <t>Escaneo 2025\192\VL_RS IFO 192-2025.pdf</t>
  </si>
  <si>
    <t>WK_ENOE STPS_cuadros.xls</t>
  </si>
  <si>
    <t>Documentos compartidos/peticiones/Escaneo 2025/193/WK_ENOE STPS_cuadros.xls</t>
  </si>
  <si>
    <t>Escaneo 2025\193\WK_ENOE STPS_cuadros.xls</t>
  </si>
  <si>
    <t>VL_RS IFO 193.docx</t>
  </si>
  <si>
    <t>Documentos compartidos/peticiones/Escaneo 2025/193/VL_RS IFO 193.docx</t>
  </si>
  <si>
    <t>Escaneo 2025\193\VL_RS IFO 193.docx</t>
  </si>
  <si>
    <t>EN_FOLIO 002182.pdf</t>
  </si>
  <si>
    <t>Documentos compartidos/peticiones/Escaneo 2025/214/EN_FOLIO 002182.pdf</t>
  </si>
  <si>
    <t>Escaneo 2025\214\EN_FOLIO 002182.pdf</t>
  </si>
  <si>
    <t>EN_FOLIO 002198.pdf</t>
  </si>
  <si>
    <t>Documentos compartidos/peticiones/Escaneo 2025/234/EN_FOLIO 002198.pdf</t>
  </si>
  <si>
    <t>Escaneo 2025\234\EN_FOLIO 002198.pdf</t>
  </si>
  <si>
    <t>VL_RS IFO 087 2025.pdf</t>
  </si>
  <si>
    <t>Documentos compartidos/peticiones/Escaneo 2025/087/VL_RS IFO 087 2025.pdf</t>
  </si>
  <si>
    <t>Escaneo 2025\087\VL_RS IFO 087 2025.pdf</t>
  </si>
  <si>
    <t>RS_O IPP 097 2025 OFICIO F.pdf</t>
  </si>
  <si>
    <t>Documentos compartidos/peticiones/Escaneo 2025/097/RS_O IPP 097 2025 OFICIO F.pdf</t>
  </si>
  <si>
    <t>Escaneo 2025\097\RS_O IPP 097 2025 OFICIO F.pdf</t>
  </si>
  <si>
    <t>VL_VL IPP 145-6-2025.docx</t>
  </si>
  <si>
    <t>Documentos compartidos/peticiones/Escaneo 2025/145/6/VL_VL IPP 145-6-2025.docx</t>
  </si>
  <si>
    <t>Escaneo 2025\145\6\VL_VL IPP 145-6-2025.docx</t>
  </si>
  <si>
    <t>VL_IPP 145-5.docx</t>
  </si>
  <si>
    <t>Documentos compartidos/peticiones/Escaneo 2025/145/5/VL_IPP 145-5.docx</t>
  </si>
  <si>
    <t>Escaneo 2025\145\5\VL_IPP 145-5.docx</t>
  </si>
  <si>
    <t>EN_FOLIO 002186.pdf</t>
  </si>
  <si>
    <t>Documentos compartidos/peticiones/Escaneo 2025/218/EN_FOLIO 002186.pdf</t>
  </si>
  <si>
    <t>Escaneo 2025\218\EN_FOLIO 002186.pdf</t>
  </si>
  <si>
    <t>EN_FOLIO 002204.pdf</t>
  </si>
  <si>
    <t>Documentos compartidos/peticiones/Escaneo 2025/240/EN_FOLIO 002204.pdf</t>
  </si>
  <si>
    <t>Escaneo 2025\240\EN_FOLIO 002204.pdf</t>
  </si>
  <si>
    <t>EN_FOLIO 002201.pdf</t>
  </si>
  <si>
    <t>Documentos compartidos/peticiones/Escaneo 2025/237/EN_FOLIO 002201.pdf</t>
  </si>
  <si>
    <t>Escaneo 2025\237\EN_FOLIO 002201.pdf</t>
  </si>
  <si>
    <t>RS_OIPP098-2.docx</t>
  </si>
  <si>
    <t>Documentos compartidos/peticiones/Escaneo 2025/098/2/RS_OIPP098-2.docx</t>
  </si>
  <si>
    <t>Escaneo 2025\098\2\RS_OIPP098-2.docx</t>
  </si>
  <si>
    <t>VL_VL IPP 103Rev.docx</t>
  </si>
  <si>
    <t>Documentos compartidos/peticiones/Escaneo 2025/103/VL_VL IPP 103Rev.docx</t>
  </si>
  <si>
    <t>Escaneo 2025\103\VL_VL IPP 103Rev.docx</t>
  </si>
  <si>
    <t>VL_VL IPP 103 R.pdf</t>
  </si>
  <si>
    <t>Documentos compartidos/peticiones/Escaneo 2025/103/VL_VL IPP 103 R.pdf</t>
  </si>
  <si>
    <t>Escaneo 2025\103\VL_VL IPP 103 R.pdf</t>
  </si>
  <si>
    <t>RS_OIPP 153-2025Rev.docx</t>
  </si>
  <si>
    <t>Documentos compartidos/peticiones/Escaneo 2025/153/RS_OIPP 153-2025Rev.docx</t>
  </si>
  <si>
    <t>Escaneo 2025\153\RS_OIPP 153-2025Rev.docx</t>
  </si>
  <si>
    <t>EN_FOLIO 002191.pdf</t>
  </si>
  <si>
    <t>Documentos compartidos/peticiones/Escaneo 2025/226/EN_FOLIO 002191.pdf</t>
  </si>
  <si>
    <t>Escaneo 2025\226\EN_FOLIO 002191.pdf</t>
  </si>
  <si>
    <t>EN_FOLIO 002210.pdf</t>
  </si>
  <si>
    <t>Documentos compartidos/peticiones/Escaneo 2025/246/EN_FOLIO 002210.pdf</t>
  </si>
  <si>
    <t>Escaneo 2025\246\EN_FOLIO 002210.pdf</t>
  </si>
  <si>
    <t>RS_SI_IPP_104.1.docx</t>
  </si>
  <si>
    <t>Documentos compartidos/peticiones/Escaneo 2025/104/1/RS_SI_IPP_104.1.docx</t>
  </si>
  <si>
    <t>Escaneo 2025\104\1\RS_SI_IPP_104.1.docx</t>
  </si>
  <si>
    <t>RS_O IPP 104.2 OFICIO.docx</t>
  </si>
  <si>
    <t>Documentos compartidos/peticiones/Escaneo 2025/104/2/RS_O IPP 104.2 OFICIO.docx</t>
  </si>
  <si>
    <t>Escaneo 2025\104\2\RS_O IPP 104.2 OFICIO.docx</t>
  </si>
  <si>
    <t>RS_OIPP194 rev.docx</t>
  </si>
  <si>
    <t>Documentos compartidos/peticiones/Escaneo 2025/194/RS_OIPP194 rev.docx</t>
  </si>
  <si>
    <t>Escaneo 2025\194\RS_OIPP194 rev.docx</t>
  </si>
  <si>
    <t>EN_FOLIO 002203.pdf</t>
  </si>
  <si>
    <t>Documentos compartidos/peticiones/Escaneo 2025/239/EN_FOLIO 002203.pdf</t>
  </si>
  <si>
    <t>Escaneo 2025\239\EN_FOLIO 002203.pdf</t>
  </si>
  <si>
    <t>EN_FOLIO 002178.pdf</t>
  </si>
  <si>
    <t>Documentos compartidos/peticiones/Escaneo 2025/210/EN_FOLIO 002178.pdf</t>
  </si>
  <si>
    <t>Escaneo 2025\210\EN_FOLIO 002178.pdf</t>
  </si>
  <si>
    <t>EN_FOLIO 002194.pdf</t>
  </si>
  <si>
    <t>Documentos compartidos/peticiones/Escaneo 2025/229/EN_FOLIO 002194.pdf</t>
  </si>
  <si>
    <t>Escaneo 2025\229\EN_FOLIO 002194.pdf</t>
  </si>
  <si>
    <t>EN_FOLIO 002190.pdf</t>
  </si>
  <si>
    <t>Documentos compartidos/peticiones/Escaneo 2025/225/EN_FOLIO 002190.pdf</t>
  </si>
  <si>
    <t>Escaneo 2025\225\EN_FOLIO 002190.pdf</t>
  </si>
  <si>
    <t>EN_FOLIO 002183.pdf</t>
  </si>
  <si>
    <t>Documentos compartidos/peticiones/Escaneo 2025/215/EN_FOLIO 002183.pdf</t>
  </si>
  <si>
    <t>Escaneo 2025\215\EN_FOLIO 002183.pdf</t>
  </si>
  <si>
    <t>EN_FOLIO 002177.pdf</t>
  </si>
  <si>
    <t>Documentos compartidos/peticiones/Escaneo 2025/209/EN_FOLIO 002177.pdf</t>
  </si>
  <si>
    <t>Escaneo 2025\209\EN_FOLIO 002177.pdf</t>
  </si>
  <si>
    <t>RS_O_IPP 209.docx</t>
  </si>
  <si>
    <t>Documentos compartidos/peticiones/Escaneo 2025/209/RS_O_IPP 209.docx</t>
  </si>
  <si>
    <t>Escaneo 2025\209\RS_O_IPP 209.docx</t>
  </si>
  <si>
    <t>EN_FOLIO 002208.pdf</t>
  </si>
  <si>
    <t>Documentos compartidos/peticiones/Escaneo 2025/248/1/EN_FOLIO 002208.pdf</t>
  </si>
  <si>
    <t>Escaneo 2025\248\1\EN_FOLIO 002208.pdf</t>
  </si>
  <si>
    <t>Documentos compartidos/peticiones/Escaneo 2025/248/2/EN_FOLIO 002208.pdf</t>
  </si>
  <si>
    <t>Escaneo 2025\248\2\EN_FOLIO 002208.pdf</t>
  </si>
  <si>
    <t>EN_FOLIO 002205.pdf</t>
  </si>
  <si>
    <t>Documentos compartidos/peticiones/Escaneo 2025/241/EN_FOLIO 002205.pdf</t>
  </si>
  <si>
    <t>Escaneo 2025\241\EN_FOLIO 002205.pdf</t>
  </si>
  <si>
    <t>EN_FOLIO 002209.pdf</t>
  </si>
  <si>
    <t>Documentos compartidos/peticiones/Escaneo 2025/245/EN_FOLIO 002209.pdf</t>
  </si>
  <si>
    <t>Escaneo 2025\245\EN_FOLIO 002209.pdf</t>
  </si>
  <si>
    <t>EN_GPPRISTLXVI-I-II1422025.pdf</t>
  </si>
  <si>
    <t>Documentos compartidos/peticiones/Escaneo 2025/219/EN_GPPRISTLXVI-I-II1422025.pdf</t>
  </si>
  <si>
    <t>Escaneo 2025\219\EN_GPPRISTLXVI-I-II1422025.pdf</t>
  </si>
  <si>
    <t>EN_FOLIO 002200.pdf</t>
  </si>
  <si>
    <t>Documentos compartidos/peticiones/Escaneo 2025/236/EN_FOLIO 002200.pdf</t>
  </si>
  <si>
    <t>Escaneo 2025\236\EN_FOLIO 002200.pdf</t>
  </si>
  <si>
    <t>RS_O IPP 090 2025 OFICIO F.pdf</t>
  </si>
  <si>
    <t>Documentos compartidos/peticiones/Escaneo 2025/090/RS_O IPP 090 2025 OFICIO F.pdf</t>
  </si>
  <si>
    <t>Escaneo 2025\090\RS_O IPP 090 2025 OFICIO F.pdf</t>
  </si>
  <si>
    <t>RS_O IPP 151 2025 OFICIO F.pdf</t>
  </si>
  <si>
    <t>Documentos compartidos/peticiones/Escaneo 2025/151/RS_O IPP 151 2025 OFICIO F.pdf</t>
  </si>
  <si>
    <t>Escaneo 2025\151\RS_O IPP 151 2025 OFICIO F.pdf</t>
  </si>
  <si>
    <t>RS_O IPP 151 OFICIO.docx</t>
  </si>
  <si>
    <t>Documentos compartidos/peticiones/Escaneo 2025/151/RS_O IPP 151 OFICIO.docx</t>
  </si>
  <si>
    <t>Escaneo 2025\151\RS_O IPP 151 OFICIO.docx</t>
  </si>
  <si>
    <t>EN_FOLIO 002199.pdf</t>
  </si>
  <si>
    <t>Documentos compartidos/peticiones/Escaneo 2025/235/EN_FOLIO 002199.pdf</t>
  </si>
  <si>
    <t>Escaneo 2025\235\EN_FOLIO 002199.pdf</t>
  </si>
  <si>
    <t>EN_FOLIO. 002175.pdf</t>
  </si>
  <si>
    <t>Documentos compartidos/peticiones/Escaneo 2025/207/EN_FOLIO. 002175.pdf</t>
  </si>
  <si>
    <t>Escaneo 2025\207\EN_FOLIO. 002175.pdf</t>
  </si>
  <si>
    <t>RS_O IPP 067 2025 OFICIO F.pdf</t>
  </si>
  <si>
    <t>Documentos compartidos/peticiones/Escaneo 2025/067/RS_O IPP 067 2025 OFICIO F.pdf</t>
  </si>
  <si>
    <t>Escaneo 2025\067\RS_O IPP 067 2025 OFICIO F.pdf</t>
  </si>
  <si>
    <t>RS_OIPP204 rev.docx</t>
  </si>
  <si>
    <t>Documentos compartidos/peticiones/Escaneo 2025/204/RS_OIPP204 rev.docx</t>
  </si>
  <si>
    <t>Escaneo 2025\204\RS_OIPP204 rev.docx</t>
  </si>
  <si>
    <t>EN_FOLIO 002173.pdf</t>
  </si>
  <si>
    <t>Documentos compartidos/peticiones/Escaneo 2025/204/EN_FOLIO 002173.pdf</t>
  </si>
  <si>
    <t>Escaneo 2025\204\EN_FOLIO 002173.pdf</t>
  </si>
  <si>
    <t>EN_FOLIO 002202.pdf</t>
  </si>
  <si>
    <t>Documentos compartidos/peticiones/Escaneo 2025/238/EN_FOLIO 002202.pdf</t>
  </si>
  <si>
    <t>Escaneo 2025\238\EN_FOLIO 002202.pdf</t>
  </si>
  <si>
    <t>VL_RS IFO 150 2025 MA.pdf</t>
  </si>
  <si>
    <t>Documentos compartidos/peticiones/Escaneo 2025/150/VL_RS IFO 150 2025 MA.pdf</t>
  </si>
  <si>
    <t>Escaneo 2025\150\VL_RS IFO 150 2025 MA.pdf</t>
  </si>
  <si>
    <t>EN_FOLIO 002187.pdf</t>
  </si>
  <si>
    <t>Documentos compartidos/peticiones/Escaneo 2025/222/EN_FOLIO 002187.pdf</t>
  </si>
  <si>
    <t>Escaneo 2025\222\EN_FOLIO 002187.pdf</t>
  </si>
  <si>
    <t>RS_OIPP 144-2025Rev.docx</t>
  </si>
  <si>
    <t>Documentos compartidos/peticiones/Escaneo 2025/144/RS_OIPP 144-2025Rev.docx</t>
  </si>
  <si>
    <t>Escaneo 2025\144\RS_OIPP 144-2025Rev.docx</t>
  </si>
  <si>
    <t>RS_O IPP 175 OFCIO F.pdf</t>
  </si>
  <si>
    <t>Documentos compartidos/peticiones/Escaneo 2025/175/RS_O IPP 175 OFCIO F.pdf</t>
  </si>
  <si>
    <t>Escaneo 2025\175\RS_O IPP 175 OFCIO F.pdf</t>
  </si>
  <si>
    <t>EN_FOLIO 002206.pdf</t>
  </si>
  <si>
    <t>Documentos compartidos/peticiones/Escaneo 2025/242/EN_FOLIO 002206.pdf</t>
  </si>
  <si>
    <t>Escaneo 2025\242\EN_FOLIO 002206.pdf</t>
  </si>
  <si>
    <t>RS_O IPP 088 2025 OFICIO.pdf</t>
  </si>
  <si>
    <t>Documentos compartidos/peticiones/Escaneo 2025/088/RS_O IPP 088 2025 OFICIO.pdf</t>
  </si>
  <si>
    <t>Escaneo 2025\088\RS_O IPP 088 2025 OFICIO.pdf</t>
  </si>
  <si>
    <t>EN_FOLIO 002185.pdf</t>
  </si>
  <si>
    <t>Documentos compartidos/peticiones/Escaneo 2025/217/EN_FOLIO 002185.pdf</t>
  </si>
  <si>
    <t>Escaneo 2025\217\EN_FOLIO 002185.pdf</t>
  </si>
  <si>
    <t>RS_OIPP082-1.docx</t>
  </si>
  <si>
    <t>Documentos compartidos/peticiones/Escaneo 2025/082/1/RS_OIPP082-1.docx</t>
  </si>
  <si>
    <t>Escaneo 2025\082\1\RS_OIPP082-1.docx</t>
  </si>
  <si>
    <t>RS_OIPP082-2.docx</t>
  </si>
  <si>
    <t>Documentos compartidos/peticiones/Escaneo 2025/082/2/RS_OIPP082-2.docx</t>
  </si>
  <si>
    <t>Escaneo 2025\082\2\RS_OIPP082-2.docx</t>
  </si>
  <si>
    <t>RS_IPP-058-LeyGralEqEcolProtAmb.docx</t>
  </si>
  <si>
    <t>RS_IPP-069-1_Atn_Dom.docx</t>
  </si>
  <si>
    <t>Documentos compartidos/peticiones/Escaneo 2025/069/1/RS_IPP-069-1_Atn_Dom.docx</t>
  </si>
  <si>
    <t>Escaneo 2025\069\1\RS_IPP-069-1_Atn_Dom.docx</t>
  </si>
  <si>
    <t>RS_O-IPP-069.1-OFICIO F.pdf</t>
  </si>
  <si>
    <t>Documentos compartidos/peticiones/Escaneo 2025/069/1/RS_O-IPP-069.1-OFICIO F.pdf</t>
  </si>
  <si>
    <t>Escaneo 2025\069\1\RS_O-IPP-069.1-OFICIO F.pdf</t>
  </si>
  <si>
    <t>EN_OfDipMoreira-ST.143.25.pdf</t>
  </si>
  <si>
    <t>Documentos compartidos/peticiones/Escaneo 2025/220/EN_OfDipMoreira-ST.143.25.pdf</t>
  </si>
  <si>
    <t>Escaneo 2025\220\EN_OfDipMoreira-ST.143.25.pdf</t>
  </si>
  <si>
    <t>WK_IFO-220-SegPública-VF.docx</t>
  </si>
  <si>
    <t>Documentos compartidos/peticiones/Escaneo 2025/220/WK_IFO-220-SegPública-VF.docx</t>
  </si>
  <si>
    <t>Escaneo 2025\220\WK_IFO-220-SegPública-VF.docx</t>
  </si>
  <si>
    <t>RS_O-IPP-232-OFICIO F.pdf</t>
  </si>
  <si>
    <t>Documentos compartidos/peticiones/Escaneo 2025/232/RS_O-IPP-232-OFICIO F.pdf</t>
  </si>
  <si>
    <t>Escaneo 2025\232\RS_O-IPP-232-OFICIO F.pdf</t>
  </si>
  <si>
    <t>EN_Of-CmTransp-CTyA-120.25.pdf</t>
  </si>
  <si>
    <t>Documentos compartidos/peticiones/Escaneo 2025/232/EN_Of-CmTransp-CTyA-120.25.pdf</t>
  </si>
  <si>
    <t>Escaneo 2025\232\EN_Of-CmTransp-CTyA-120.25.pdf</t>
  </si>
  <si>
    <t>IN_EjecutivoFederal.docx</t>
  </si>
  <si>
    <t>Documentos compartidos/peticiones/Escaneo 2025/232/IN_EjecutivoFederal.docx</t>
  </si>
  <si>
    <t>Escaneo 2025\232\IN_EjecutivoFederal.docx</t>
  </si>
  <si>
    <t>WK_O-IPP-106-OFICIO F.pdf</t>
  </si>
  <si>
    <t>Documentos compartidos/peticiones/Escaneo 2025/106/WK_O-IPP-106-OFICIO F.pdf</t>
  </si>
  <si>
    <t>Escaneo 2025\106\WK_O-IPP-106-OFICIO F.pdf</t>
  </si>
  <si>
    <t>IN_LeyDiscrAnimales-FracXXXVI-Art9.pdf</t>
  </si>
  <si>
    <t>Documentos compartidos/peticiones/Escaneo 2025/228/IN_LeyDiscrAnimales-FracXXXVI-Art9.pdf</t>
  </si>
  <si>
    <t>Escaneo 2025\228\IN_LeyDiscrAnimales-FracXXXVI-Art9.pdf</t>
  </si>
  <si>
    <t>RS_O-IPP-212-eq-O-IPP-211y025.7.docx</t>
  </si>
  <si>
    <t>Documentos compartidos/peticiones/Escaneo 2025/212/RS_O-IPP-212-eq-O-IPP-211y025.7.docx</t>
  </si>
  <si>
    <t>Escaneo 2025\212\RS_O-IPP-212-eq-O-IPP-211y025.7.docx</t>
  </si>
  <si>
    <t>IN_LeyImplRespAfromexicanas.pdf</t>
  </si>
  <si>
    <t>Documentos compartidos/peticiones/Escaneo 2025/212/IN_LeyImplRespAfromexicanas.pdf</t>
  </si>
  <si>
    <t>Escaneo 2025\212\IN_LeyImplRespAfromexicanas.pdf</t>
  </si>
  <si>
    <t>RS_O-IPP-212-OFICIO F.pdf</t>
  </si>
  <si>
    <t>Documentos compartidos/peticiones/Escaneo 2025/212/RS_O-IPP-212-OFICIO F.pdf</t>
  </si>
  <si>
    <t>Escaneo 2025\212\RS_O-IPP-212-OFICIO F.pdf</t>
  </si>
  <si>
    <t>IN_LeyTurismoCine.pdf</t>
  </si>
  <si>
    <t>Documentos compartidos/peticiones/Escaneo 2025/205/IN_LeyTurismoCine.pdf</t>
  </si>
  <si>
    <t>Escaneo 2025\205\IN_LeyTurismoCine.pdf</t>
  </si>
  <si>
    <t>IN_LeyCons-Digitales.pdf</t>
  </si>
  <si>
    <t>Documentos compartidos/peticiones/Escaneo 2025/223/IN_LeyCons-Digitales.pdf</t>
  </si>
  <si>
    <t>Escaneo 2025\223\IN_LeyCons-Digitales.pdf</t>
  </si>
  <si>
    <t>IN_LeyPesca-Art.24.pdf</t>
  </si>
  <si>
    <t>Documentos compartidos/peticiones/Escaneo 2025/233/IN_LeyPesca-Art.24.pdf</t>
  </si>
  <si>
    <t>Escaneo 2025\233\IN_LeyPesca-Art.24.pdf</t>
  </si>
  <si>
    <t>EN_Of-ComPesca-138.25.pdf</t>
  </si>
  <si>
    <t>Documentos compartidos/peticiones/Escaneo 2025/233/EN_Of-ComPesca-138.25.pdf</t>
  </si>
  <si>
    <t>Escaneo 2025\233\EN_Of-ComPesca-138.25.pdf</t>
  </si>
  <si>
    <t>RS_O-IPP-160-eq-O-IPP-146.docx</t>
  </si>
  <si>
    <t>Documentos compartidos/peticiones/Escaneo 2025/160/RS_O-IPP-160-eq-O-IPP-146.docx</t>
  </si>
  <si>
    <t>Escaneo 2025\160\RS_O-IPP-160-eq-O-IPP-146.docx</t>
  </si>
  <si>
    <t>RS_O-IPP-208-OFICIO F .pdf</t>
  </si>
  <si>
    <t>Documentos compartidos/peticiones/Escaneo 2025/208/RS_O-IPP-208-OFICIO F .pdf</t>
  </si>
  <si>
    <t>Escaneo 2025\208\RS_O-IPP-208-OFICIO F .pdf</t>
  </si>
  <si>
    <t>Documentos compartidos/peticiones/Escaneo 2025/208/IN_EjecutivoFederal.docx</t>
  </si>
  <si>
    <t>Escaneo 2025\208\IN_EjecutivoFederal.docx</t>
  </si>
  <si>
    <t>IN_LeyRespAdmvas.pdf</t>
  </si>
  <si>
    <t>Documentos compartidos/peticiones/Escaneo 2025/230/3/IN_LeyRespAdmvas.pdf</t>
  </si>
  <si>
    <t>Escaneo 2025\230\3\IN_LeyRespAdmvas.pdf</t>
  </si>
  <si>
    <t>IN_LeyAccInfo.pdf</t>
  </si>
  <si>
    <t>Documentos compartidos/peticiones/Escaneo 2025/230/4/IN_LeyAccInfo.pdf</t>
  </si>
  <si>
    <t>Escaneo 2025\230\4\IN_LeyAccInfo.pdf</t>
  </si>
  <si>
    <t>IN_LeyRespAdmon.pdf</t>
  </si>
  <si>
    <t>Documentos compartidos/peticiones/Escaneo 2025/230/1/IN_LeyRespAdmon.pdf</t>
  </si>
  <si>
    <t>Escaneo 2025\230\1\IN_LeyRespAdmon.pdf</t>
  </si>
  <si>
    <t>IN_LeyContenc-Art-A56y57.pdf</t>
  </si>
  <si>
    <t>Documentos compartidos/peticiones/Escaneo 2025/230/2/IN_LeyContenc-Art-A56y57.pdf</t>
  </si>
  <si>
    <t>Escaneo 2025\230\2\IN_LeyContenc-Art-A56y57.pdf</t>
  </si>
  <si>
    <t>IN_LeyMigraTitulo-V-Art99.pdf</t>
  </si>
  <si>
    <t>Documentos compartidos/peticiones/Escaneo 2025/227/IN_LeyMigraTitulo-V-Art99.pdf</t>
  </si>
  <si>
    <t>Escaneo 2025\227\IN_LeyMigraTitulo-V-Art99.pdf</t>
  </si>
  <si>
    <t>IN_LeyDerNiñasyAdol.pdf</t>
  </si>
  <si>
    <t>Documentos compartidos/peticiones/Escaneo 2025/213/IN_LeyDerNiñasyAdol.pdf</t>
  </si>
  <si>
    <t>Escaneo 2025\213\IN_LeyDerNiñasyAdol.pdf</t>
  </si>
  <si>
    <t>VL_RS-IFO-137-MA.pdf</t>
  </si>
  <si>
    <t>Documentos compartidos/peticiones/Escaneo 2025/137/VL_RS-IFO-137-MA.pdf</t>
  </si>
  <si>
    <t>Escaneo 2025\137\VL_RS-IFO-137-MA.pdf</t>
  </si>
  <si>
    <t>RS_O-IFO-137-OFICIO F.pdf</t>
  </si>
  <si>
    <t>Documentos compartidos/peticiones/Escaneo 2025/137/RS_O-IFO-137-OFICIO F.pdf</t>
  </si>
  <si>
    <t>Escaneo 2025\137\RS_O-IFO-137-OFICIO F.pdf</t>
  </si>
  <si>
    <t>RS_IFO-221ComNalBúsqPers-VR.docx</t>
  </si>
  <si>
    <t>Documentos compartidos/peticiones/Escaneo 2025/221/RS_IFO-221ComNalBúsqPers-VR.docx</t>
  </si>
  <si>
    <t>Escaneo 2025\221\RS_IFO-221ComNalBúsqPers-VR.docx</t>
  </si>
  <si>
    <t>EN_Of-DipMoreira.144.25.pdf</t>
  </si>
  <si>
    <t>Documentos compartidos/peticiones/Escaneo 2025/221/EN_Of-DipMoreira.144.25.pdf</t>
  </si>
  <si>
    <t>Escaneo 2025\221\EN_Of-DipMoreira.144.25.pdf</t>
  </si>
  <si>
    <t>RS_O-IFO-221-OFICIO F.pdf</t>
  </si>
  <si>
    <t>Documentos compartidos/peticiones/Escaneo 2025/221/RS_O-IFO-221-OFICIO F.pdf</t>
  </si>
  <si>
    <t>Escaneo 2025\221\RS_O-IFO-221-OFICIO F.pdf</t>
  </si>
  <si>
    <t>VL_RS-IFO-221-2025.pdf</t>
  </si>
  <si>
    <t>Documentos compartidos/peticiones/Escaneo 2025/221/VL_RS-IFO-221-2025.pdf</t>
  </si>
  <si>
    <t>Escaneo 2025\221\VL_RS-IFO-221-2025.pdf</t>
  </si>
  <si>
    <t>IN_CódPen-AbandAnim-Art-419T.pdf</t>
  </si>
  <si>
    <t>Documentos compartidos/peticiones/Escaneo 2025/243/IN_CódPen-AbandAnim-Art-419T.pdf</t>
  </si>
  <si>
    <t>Escaneo 2025\243\IN_CódPen-AbandAnim-Art-419T.pdf</t>
  </si>
  <si>
    <t>RS_O-IPP-085-OFICIO F.pdf</t>
  </si>
  <si>
    <t>Documentos compartidos/peticiones/Escaneo 2025/085/RS_O-IPP-085-OFICIO F.pdf</t>
  </si>
  <si>
    <t>Escaneo 2025\085\RS_O-IPP-085-OFICIO F.pdf</t>
  </si>
  <si>
    <t>RS_O-IPP-115.2-OFICIO F.pdf</t>
  </si>
  <si>
    <t>Documentos compartidos/peticiones/Escaneo 2025/115/2/RS_O-IPP-115.2-OFICIO F.pdf</t>
  </si>
  <si>
    <t>Escaneo 2025\115\2\RS_O-IPP-115.2-OFICIO F.pdf</t>
  </si>
  <si>
    <t>IN_LeyOrgArmada-Art2y20.pdf</t>
  </si>
  <si>
    <t>Documentos compartidos/peticiones/Escaneo 2025/250/IN_LeyOrgArmada-Art2y20.pdf</t>
  </si>
  <si>
    <t>Escaneo 2025\250\IN_LeyOrgArmada-Art2y20.pdf</t>
  </si>
  <si>
    <t>EN_FOLIO 002213.pdf</t>
  </si>
  <si>
    <t>Documentos compartidos/peticiones/Escaneo 2025/250/EN_FOLIO 002213.pdf</t>
  </si>
  <si>
    <t>Escaneo 2025\250\EN_FOLIO 002213.pdf</t>
  </si>
  <si>
    <t>RS_O-IPP-076.8-OFICIO F.pdf</t>
  </si>
  <si>
    <t>Documentos compartidos/peticiones/Escaneo 2025/076/8/RS_O-IPP-076.8-OFICIO F.pdf</t>
  </si>
  <si>
    <t>Escaneo 2025\076\8\RS_O-IPP-076.8-OFICIO F.pdf</t>
  </si>
  <si>
    <t>RS_O-IPP-076.6.docx</t>
  </si>
  <si>
    <t>Documentos compartidos/peticiones/Escaneo 2025/076/6/RS_O-IPP-076.6.docx</t>
  </si>
  <si>
    <t>Escaneo 2025\076\6\RS_O-IPP-076.6.docx</t>
  </si>
  <si>
    <t>RS_O-IPP-076.6-OFICIO F.pdf</t>
  </si>
  <si>
    <t>Documentos compartidos/peticiones/Escaneo 2025/076/6/RS_O-IPP-076.6-OFICIO F.pdf</t>
  </si>
  <si>
    <t>Escaneo 2025\076\6\RS_O-IPP-076.6-OFICIO F.pdf</t>
  </si>
  <si>
    <t>RS_O-IPP-076.4-OFICIO F.pdf</t>
  </si>
  <si>
    <t>Documentos compartidos/peticiones/Escaneo 2025/076/4/RS_O-IPP-076.4-OFICIO F.pdf</t>
  </si>
  <si>
    <t>Escaneo 2025\076\4\RS_O-IPP-076.4-OFICIO F.pdf</t>
  </si>
  <si>
    <t>RS_O-IPP-076.11-OFICIO F.pdf</t>
  </si>
  <si>
    <t>Documentos compartidos/peticiones/Escaneo 2025/076/1/RS_O-IPP-076.11-OFICIO F.pdf</t>
  </si>
  <si>
    <t>Escaneo 2025\076\1\RS_O-IPP-076.11-OFICIO F.pdf</t>
  </si>
  <si>
    <t>RS_O-IPP-132.3.docx</t>
  </si>
  <si>
    <t>Documentos compartidos/peticiones/Escaneo 2025/132/3/RS_O-IPP-132.3.docx</t>
  </si>
  <si>
    <t>Escaneo 2025\132\3\RS_O-IPP-132.3.docx</t>
  </si>
  <si>
    <t>RS_O-IPP-132.3-OFICIO F.pdf</t>
  </si>
  <si>
    <t>Documentos compartidos/peticiones/Escaneo 2025/132/3/RS_O-IPP-132.3-OFICIO F.pdf</t>
  </si>
  <si>
    <t>Escaneo 2025\132\3\RS_O-IPP-132.3-OFICIO F.pdf</t>
  </si>
  <si>
    <t>RS_O-IPP-132.4-OFICIO F.pdf</t>
  </si>
  <si>
    <t>Documentos compartidos/peticiones/Escaneo 2025/132/4/RS_O-IPP-132.4-OFICIO F.pdf</t>
  </si>
  <si>
    <t>Escaneo 2025\132\4\RS_O-IPP-132.4-OFICIO F.pdf</t>
  </si>
  <si>
    <t>IN_LeyComercioSemillas-Art11.pdf</t>
  </si>
  <si>
    <t>Documentos compartidos/peticiones/Escaneo 2025/224/IN_LeyComercioSemillas-Art11.pdf</t>
  </si>
  <si>
    <t>Escaneo 2025\224\IN_LeyComercioSemillas-Art11.pdf</t>
  </si>
  <si>
    <t>RS_O-IPP-052.6-OFICIO F.pdf</t>
  </si>
  <si>
    <t>Documentos compartidos/peticiones/Escaneo 2025/052/6/RS_O-IPP-052.6-OFICIO F.pdf</t>
  </si>
  <si>
    <t>Escaneo 2025\052\6\RS_O-IPP-052.6-OFICIO F.pdf</t>
  </si>
  <si>
    <t>IN_CódPen-ServPúb.pdf</t>
  </si>
  <si>
    <t>Documentos compartidos/peticiones/Escaneo 2025/216/IN_CódPen-ServPúb.pdf</t>
  </si>
  <si>
    <t>Escaneo 2025\216\IN_CódPen-ServPúb.pdf</t>
  </si>
  <si>
    <t>IN_LeyMecanismosAlternos.pdf</t>
  </si>
  <si>
    <t>Documentos compartidos/peticiones/Escaneo 2025/231/3/IN_LeyMecanismosAlternos.pdf</t>
  </si>
  <si>
    <t>Escaneo 2025\231\3\IN_LeyMecanismosAlternos.pdf</t>
  </si>
  <si>
    <t>RS_OIPP231-4 igual al OIPP204.docx</t>
  </si>
  <si>
    <t>Documentos compartidos/peticiones/Escaneo 2025/231/4/RS_OIPP231-4 igual al OIPP204.docx</t>
  </si>
  <si>
    <t>Escaneo 2025\231\4\RS_OIPP231-4 igual al OIPP204.docx</t>
  </si>
  <si>
    <t>IN_LetSistSegPúb-Art.21.pdf</t>
  </si>
  <si>
    <t>Documentos compartidos/peticiones/Escaneo 2025/231/4/IN_LetSistSegPúb-Art.21.pdf</t>
  </si>
  <si>
    <t>Escaneo 2025\231\4\IN_LetSistSegPúb-Art.21.pdf</t>
  </si>
  <si>
    <t>IN_LeyGralSegPúb-Art76.pdf</t>
  </si>
  <si>
    <t>Documentos compartidos/peticiones/Escaneo 2025/231/1/IN_LeyGralSegPúb-Art76.pdf</t>
  </si>
  <si>
    <t>Escaneo 2025\231\1\IN_LeyGralSegPúb-Art76.pdf</t>
  </si>
  <si>
    <t>IN_LeySistSegPúbArt45bisTerQuat.pdf</t>
  </si>
  <si>
    <t>Documentos compartidos/peticiones/Escaneo 2025/231/2/IN_LeySistSegPúbArt45bisTerQuat.pdf</t>
  </si>
  <si>
    <t>Escaneo 2025\231\2\IN_LeySistSegPúbArt45bisTerQuat.pdf</t>
  </si>
  <si>
    <t>IN_LeyMigración-Art.111.pdf</t>
  </si>
  <si>
    <t>Documentos compartidos/peticiones/Escaneo 2025/249/IN_LeyMigración-Art.111.pdf</t>
  </si>
  <si>
    <t>Escaneo 2025\249\IN_LeyMigración-Art.111.pdf</t>
  </si>
  <si>
    <t>IN_LeyImplAfromexicanas.pdf</t>
  </si>
  <si>
    <t>Documentos compartidos/peticiones/Escaneo 2025/211/IN_LeyImplAfromexicanas.pdf</t>
  </si>
  <si>
    <t>Escaneo 2025\211\IN_LeyImplAfromexicanas.pdf</t>
  </si>
  <si>
    <t>RS_O-IPP-211-OFICIO F .pdf</t>
  </si>
  <si>
    <t>Documentos compartidos/peticiones/Escaneo 2025/211/RS_O-IPP-211-OFICIO F .pdf</t>
  </si>
  <si>
    <t>Escaneo 2025\211\RS_O-IPP-211-OFICIO F .pdf</t>
  </si>
  <si>
    <t>RS_O-IPP-211-eq-025-7.docx</t>
  </si>
  <si>
    <t>Documentos compartidos/peticiones/Escaneo 2025/211/RS_O-IPP-211-eq-025-7.docx</t>
  </si>
  <si>
    <t>Escaneo 2025\211\RS_O-IPP-211-eq-025-7.docx</t>
  </si>
  <si>
    <t>RS_IFO-192-GposVul-2019-2025.docx</t>
  </si>
  <si>
    <t>Documentos compartidos/peticiones/Escaneo 2025/192/RS_IFO-192-GposVul-2019-2025.docx</t>
  </si>
  <si>
    <t>Escaneo 2025\192\RS_IFO-192-GposVul-2019-2025.docx</t>
  </si>
  <si>
    <t>RS_O-IFO-192-OFICIO F.pdf</t>
  </si>
  <si>
    <t>Documentos compartidos/peticiones/Escaneo 2025/192/RS_O-IFO-192-OFICIO F.pdf</t>
  </si>
  <si>
    <t>Escaneo 2025\192\RS_O-IFO-192-OFICIO F.pdf</t>
  </si>
  <si>
    <t>WK_6oInfGob-2024-InclLab.pdf</t>
  </si>
  <si>
    <t>Documentos compartidos/peticiones/Escaneo 2025/193/WK_6oInfGob-2024-InclLab.pdf</t>
  </si>
  <si>
    <t>Escaneo 2025\193\WK_6oInfGob-2024-InclLab.pdf</t>
  </si>
  <si>
    <t>WK_PRONAIND-Avances2024.pdf</t>
  </si>
  <si>
    <t>Documentos compartidos/peticiones/Escaneo 2025/193/WK_PRONAIND-Avances2024.pdf</t>
  </si>
  <si>
    <t>Escaneo 2025\193\WK_PRONAIND-Avances2024.pdf</t>
  </si>
  <si>
    <t>Documentos compartidos/peticiones/Escaneo 2025/058/RS_IPP-058-LeyGralEqEcolProtAmb.docx</t>
  </si>
  <si>
    <t>Escaneo 2025\058\RS_IPP-058-LeyGralEqEcolProtAmb.docx</t>
  </si>
  <si>
    <t>RS_O-IPP-125-OFICIO F.pdf</t>
  </si>
  <si>
    <t>Documentos compartidos/peticiones/Escaneo 2025/125/RS_O-IPP-125-OFICIO F.pdf</t>
  </si>
  <si>
    <t>Escaneo 2025\125\RS_O-IPP-125-OFICIO F.pdf</t>
  </si>
  <si>
    <t>VL_IPP-042.15-MA.pdf</t>
  </si>
  <si>
    <t>Documentos compartidos/peticiones/Escaneo 2025/042/15/VL_IPP-042.15-MA.pdf</t>
  </si>
  <si>
    <t>Escaneo 2025\042\15\VL_IPP-042.15-MA.pdf</t>
  </si>
  <si>
    <t>RS_O-IPP-042.15-OFICIO F.pdf</t>
  </si>
  <si>
    <t>Documentos compartidos/peticiones/Escaneo 2025/042/15/RS_O-IPP-042.15-OFICIO F.pdf</t>
  </si>
  <si>
    <t>Escaneo 2025\042\15\RS_O-IPP-042.15-OFICIO F.pdf</t>
  </si>
  <si>
    <t>RS_O-IPP-042.5-OFICIO F.pdf</t>
  </si>
  <si>
    <t>Documentos compartidos/peticiones/Escaneo 2025/042/5/RS_O-IPP-042.5-OFICIO F.pdf</t>
  </si>
  <si>
    <t>Escaneo 2025\042\5\RS_O-IPP-042.5-OFICIO F.pdf</t>
  </si>
  <si>
    <t>RS_O-IPP-176-OFICIO F.pdf</t>
  </si>
  <si>
    <t>Documentos compartidos/peticiones/Escaneo 2025/176/RS_O-IPP-176-OFICIO F.pdf</t>
  </si>
  <si>
    <t>Escaneo 2025\176\RS_O-IPP-176-OFICIO F.pdf</t>
  </si>
  <si>
    <t>RS_O-IPP-127-OFICIO F.pdf</t>
  </si>
  <si>
    <t>Documentos compartidos/peticiones/Escaneo 2025/127/RS_O-IPP-127-OFICIO F.pdf</t>
  </si>
  <si>
    <t>Escaneo 2025\127\RS_O-IPP-127-OFICIO F.pdf</t>
  </si>
  <si>
    <t>RS_O-IPP-199-OFICIO F-M1.pdf</t>
  </si>
  <si>
    <t>Documentos compartidos/peticiones/Escaneo 2025/199/RS_O-IPP-199-OFICIO F-M1.pdf</t>
  </si>
  <si>
    <t>Escaneo 2025\199\RS_O-IPP-199-OFICIO F-M1.pdf</t>
  </si>
  <si>
    <t>RS_O-IPP-199-OFICIO F.pdf</t>
  </si>
  <si>
    <t>Documentos compartidos/peticiones/Escaneo 2025/199/RS_O-IPP-199-OFICIO F.pdf</t>
  </si>
  <si>
    <t>Escaneo 2025\199\RS_O-IPP-199-OFICIO F.pdf</t>
  </si>
  <si>
    <t>RS_O-IPP-155-OFICIO F.pdf</t>
  </si>
  <si>
    <t>Documentos compartidos/peticiones/Escaneo 2025/155/RS_O-IPP-155-OFICIO F.pdf</t>
  </si>
  <si>
    <t>Escaneo 2025\155\RS_O-IPP-155-OFICIO F.pdf</t>
  </si>
  <si>
    <t>VL_IPP-155-MA.pdf</t>
  </si>
  <si>
    <t>Documentos compartidos/peticiones/Escaneo 2025/155/VL_IPP-155-MA.pdf</t>
  </si>
  <si>
    <t>Escaneo 2025\155\VL_IPP-155-MA.pdf</t>
  </si>
  <si>
    <t>IN_LeyJustPenal-Adolesc-Art145y164.pdf</t>
  </si>
  <si>
    <t>Documentos compartidos/peticiones/Escaneo 2025/214/IN_LeyJustPenal-Adolesc-Art145y164.pdf</t>
  </si>
  <si>
    <t>Escaneo 2025\214\IN_LeyJustPenal-Adolesc-Art145y164.pdf</t>
  </si>
  <si>
    <t>IN_LeyCine-Art.8.pdf</t>
  </si>
  <si>
    <t>Documentos compartidos/peticiones/Escaneo 2025/234/IN_LeyCine-Art.8.pdf</t>
  </si>
  <si>
    <t>Escaneo 2025\234\IN_LeyCine-Art.8.pdf</t>
  </si>
  <si>
    <t>RS_O-IFO-087-OFICIO F.pdf</t>
  </si>
  <si>
    <t>Documentos compartidos/peticiones/Escaneo 2025/087/RS_O-IFO-087-OFICIO F.pdf</t>
  </si>
  <si>
    <t>Escaneo 2025\087\RS_O-IFO-087-OFICIO F.pdf</t>
  </si>
  <si>
    <t>RS_IFO-087-Evasión-Elusión-VR.docx</t>
  </si>
  <si>
    <t>Documentos compartidos/peticiones/Escaneo 2025/087/RS_IFO-087-Evasión-Elusión-VR.docx</t>
  </si>
  <si>
    <t>Escaneo 2025\087\RS_IFO-087-Evasión-Elusión-VR.docx</t>
  </si>
  <si>
    <t>RS_O-IPP-086-OFICIO F.pdf</t>
  </si>
  <si>
    <t>Documentos compartidos/peticiones/Escaneo 2025/086/RS_O-IPP-086-OFICIO F.pdf</t>
  </si>
  <si>
    <t>Escaneo 2025\086\RS_O-IPP-086-OFICIO F.pdf</t>
  </si>
  <si>
    <t>RS_O-IPP-145.5-OFICIO F.pdf</t>
  </si>
  <si>
    <t>Documentos compartidos/peticiones/Escaneo 2025/145/5/RS_O-IPP-145.5-OFICIO F.pdf</t>
  </si>
  <si>
    <t>Escaneo 2025\145\5\RS_O-IPP-145.5-OFICIO F.pdf</t>
  </si>
  <si>
    <t>VL_IPP-145.5-MA.pdf</t>
  </si>
  <si>
    <t>Documentos compartidos/peticiones/Escaneo 2025/145/5/VL_IPP-145.5-MA.pdf</t>
  </si>
  <si>
    <t>Escaneo 2025\145\5\VL_IPP-145.5-MA.pdf</t>
  </si>
  <si>
    <t>IN_LeyNiñas-Art26.pdf</t>
  </si>
  <si>
    <t>Documentos compartidos/peticiones/Escaneo 2025/218/IN_LeyNiñas-Art26.pdf</t>
  </si>
  <si>
    <t>Escaneo 2025\218\IN_LeyNiñas-Art26.pdf</t>
  </si>
  <si>
    <t>IN_CódPenal-Art-211Bis.pdf</t>
  </si>
  <si>
    <t>Documentos compartidos/peticiones/Escaneo 2025/240/IN_CódPenal-Art-211Bis.pdf</t>
  </si>
  <si>
    <t>Escaneo 2025\240\IN_CódPenal-Art-211Bis.pdf</t>
  </si>
  <si>
    <t>IN_LeyAnimal-LeyVidaSilvestre.pdf</t>
  </si>
  <si>
    <t>Documentos compartidos/peticiones/Escaneo 2025/237/IN_LeyAnimal-LeyVidaSilvestre.pdf</t>
  </si>
  <si>
    <t>Escaneo 2025\237\IN_LeyAnimal-LeyVidaSilvestre.pdf</t>
  </si>
  <si>
    <t>RS_O-IPP-098.2-OFICIO F.pdf</t>
  </si>
  <si>
    <t>Documentos compartidos/peticiones/Escaneo 2025/098/2/RS_O-IPP-098.2-OFICIO F.pdf</t>
  </si>
  <si>
    <t>Escaneo 2025\098\2\RS_O-IPP-098.2-OFICIO F.pdf</t>
  </si>
  <si>
    <t>RS_O-IPP-103-OFICIO F.pdf</t>
  </si>
  <si>
    <t>Documentos compartidos/peticiones/Escaneo 2025/103/RS_O-IPP-103-OFICIO F.pdf</t>
  </si>
  <si>
    <t>Escaneo 2025\103\RS_O-IPP-103-OFICIO F.pdf</t>
  </si>
  <si>
    <t>IN_LeyMigracion-Art2-3y36.pdf</t>
  </si>
  <si>
    <t>Documentos compartidos/peticiones/Escaneo 2025/226/IN_LeyMigracion-Art2-3y36.pdf</t>
  </si>
  <si>
    <t>Escaneo 2025\226\IN_LeyMigracion-Art2-3y36.pdf</t>
  </si>
  <si>
    <t>IN_LeySociedades.pdf</t>
  </si>
  <si>
    <t>Documentos compartidos/peticiones/Escaneo 2025/246/IN_LeySociedades.pdf</t>
  </si>
  <si>
    <t>Escaneo 2025\246\IN_LeySociedades.pdf</t>
  </si>
  <si>
    <t>RS_O-IPP-104.1-OFICIO F.pdf</t>
  </si>
  <si>
    <t>Documentos compartidos/peticiones/Escaneo 2025/104/1/RS_O-IPP-104.1-OFICIO F.pdf</t>
  </si>
  <si>
    <t>Escaneo 2025\104\1\RS_O-IPP-104.1-OFICIO F.pdf</t>
  </si>
  <si>
    <t>RS_O-IPP-095-OFICIO F.pdf</t>
  </si>
  <si>
    <t>Documentos compartidos/peticiones/Escaneo 2025/095/RS_O-IPP-095-OFICIO F.pdf</t>
  </si>
  <si>
    <t>Escaneo 2025\095\RS_O-IPP-095-OFICIO F.pdf</t>
  </si>
  <si>
    <t>IN_CódPen-RF-Art-209Sxy207Sp.pdf</t>
  </si>
  <si>
    <t>Documentos compartidos/peticiones/Escaneo 2025/239/IN_CódPen-RF-Art-209Sxy207Sp.pdf</t>
  </si>
  <si>
    <t>Escaneo 2025\239\IN_CódPen-RF-Art-209Sxy207Sp.pdf</t>
  </si>
  <si>
    <t>IN_LeyFertilizantes-Bienestar.pdf</t>
  </si>
  <si>
    <t>Documentos compartidos/peticiones/Escaneo 2025/210/IN_LeyFertilizantes-Bienestar.pdf</t>
  </si>
  <si>
    <t>Escaneo 2025\210\IN_LeyFertilizantes-Bienestar.pdf</t>
  </si>
  <si>
    <t>VL_IPP-210-Rev.docx</t>
  </si>
  <si>
    <t>Documentos compartidos/peticiones/Escaneo 2025/210/VL_IPP-210-Rev.docx</t>
  </si>
  <si>
    <t>Escaneo 2025\210\VL_IPP-210-Rev.docx</t>
  </si>
  <si>
    <t>RS_O-IPP-210-OFICIO F.pdf</t>
  </si>
  <si>
    <t>Documentos compartidos/peticiones/Escaneo 2025/210/RS_O-IPP-210-OFICIO F.pdf</t>
  </si>
  <si>
    <t>Escaneo 2025\210\RS_O-IPP-210-OFICIO F.pdf</t>
  </si>
  <si>
    <t>IN_LeyMujeres-ViolenciaGén.pdf</t>
  </si>
  <si>
    <t>Documentos compartidos/peticiones/Escaneo 2025/229/IN_LeyMujeres-ViolenciaGén.pdf</t>
  </si>
  <si>
    <t>Escaneo 2025\229\IN_LeyMujeres-ViolenciaGén.pdf</t>
  </si>
  <si>
    <t>RS_O-IPP-047.10-OFICIO F.pdf</t>
  </si>
  <si>
    <t>Documentos compartidos/peticiones/Escaneo 2025/047/10/RS_O-IPP-047.10-OFICIO F.pdf</t>
  </si>
  <si>
    <t>Escaneo 2025\047\10\RS_O-IPP-047.10-OFICIO F.pdf</t>
  </si>
  <si>
    <t>RS_O-IPP-047.1-OFICIO F.pdf</t>
  </si>
  <si>
    <t>Documentos compartidos/peticiones/Escaneo 2025/047/1/RS_O-IPP-047.1-OFICIO F.pdf</t>
  </si>
  <si>
    <t>Escaneo 2025\047\1\RS_O-IPP-047.1-OFICIO F.pdf</t>
  </si>
  <si>
    <t>IN_LeyProtPersMigrantes.pdf</t>
  </si>
  <si>
    <t>Documentos compartidos/peticiones/Escaneo 2025/225/IN_LeyProtPersMigrantes.pdf</t>
  </si>
  <si>
    <t>Escaneo 2025\225\IN_LeyProtPersMigrantes.pdf</t>
  </si>
  <si>
    <t>IN_CódPenal-Art-293Bis.pdf</t>
  </si>
  <si>
    <t>Documentos compartidos/peticiones/Escaneo 2025/215/IN_CódPenal-Art-293Bis.pdf</t>
  </si>
  <si>
    <t>Escaneo 2025\215\IN_CódPenal-Art-293Bis.pdf</t>
  </si>
  <si>
    <t>IN_LeyAguasNales-.pdf</t>
  </si>
  <si>
    <t>Documentos compartidos/peticiones/Escaneo 2025/209/IN_LeyAguasNales-.pdf</t>
  </si>
  <si>
    <t>Escaneo 2025\209\IN_LeyAguasNales-.pdf</t>
  </si>
  <si>
    <t>IN_LeyInclPersDiscapacidad.pdf</t>
  </si>
  <si>
    <t>Documentos compartidos/peticiones/Escaneo 2025/248/1/IN_LeyInclPersDiscapacidad.pdf</t>
  </si>
  <si>
    <t>Escaneo 2025\248\1\IN_LeyInclPersDiscapacidad.pdf</t>
  </si>
  <si>
    <t>IN_LeyPersDisc-Art2y17.pdf</t>
  </si>
  <si>
    <t>Documentos compartidos/peticiones/Escaneo 2025/248/2/IN_LeyPersDisc-Art2y17.pdf</t>
  </si>
  <si>
    <t>Escaneo 2025\248\2\IN_LeyPersDisc-Art2y17.pdf</t>
  </si>
  <si>
    <t>IN_Abandono-LeyMujeres.docx</t>
  </si>
  <si>
    <t>Documentos compartidos/peticiones/Escaneo 2025/244/IN_Abandono-LeyMujeres.docx</t>
  </si>
  <si>
    <t>Escaneo 2025\244\IN_Abandono-LeyMujeres.docx</t>
  </si>
  <si>
    <t>IN_CódPen-SustTx-Abejas-Art-414.pdf</t>
  </si>
  <si>
    <t>Documentos compartidos/peticiones/Escaneo 2025/241/IN_CódPen-SustTx-Abejas-Art-414.pdf</t>
  </si>
  <si>
    <t>Escaneo 2025\241\IN_CódPen-SustTx-Abejas-Art-414.pdf</t>
  </si>
  <si>
    <t>IN_LeyInstSeguros.pdf</t>
  </si>
  <si>
    <t>Documentos compartidos/peticiones/Escaneo 2025/245/IN_LeyInstSeguros.pdf</t>
  </si>
  <si>
    <t>Escaneo 2025\245\IN_LeyInstSeguros.pdf</t>
  </si>
  <si>
    <t>RS_IFO Policías 219-2025.docx</t>
  </si>
  <si>
    <t>Documentos compartidos/peticiones/Escaneo 2025/219/RS_IFO Policías 219-2025.docx</t>
  </si>
  <si>
    <t>Escaneo 2025\219\RS_IFO Policías 219-2025.docx</t>
  </si>
  <si>
    <t>RS_O-IPP-096-OFICIO F.pdf</t>
  </si>
  <si>
    <t>Documentos compartidos/peticiones/Escaneo 2025/096/RS_O-IPP-096-OFICIO F.pdf</t>
  </si>
  <si>
    <t>Escaneo 2025\096\RS_O-IPP-096-OFICIO F.pdf</t>
  </si>
  <si>
    <t>IN_LeyProtAnimales.pdf</t>
  </si>
  <si>
    <t>Documentos compartidos/peticiones/Escaneo 2025/236/IN_LeyProtAnimales.pdf</t>
  </si>
  <si>
    <t>Escaneo 2025\236\IN_LeyProtAnimales.pdf</t>
  </si>
  <si>
    <t>RS_O-IPP-022.16-OFICIO F.pdf</t>
  </si>
  <si>
    <t>Documentos compartidos/peticiones/Escaneo 2025/022/16/RS_O-IPP-022.16-OFICIO F.pdf</t>
  </si>
  <si>
    <t>Escaneo 2025\022\16\RS_O-IPP-022.16-OFICIO F.pdf</t>
  </si>
  <si>
    <t>RS_O-IPP-235-eq-O-IPP-213.docx</t>
  </si>
  <si>
    <t>Documentos compartidos/peticiones/Escaneo 2025/235/RS_O-IPP-235-eq-O-IPP-213.docx</t>
  </si>
  <si>
    <t>Escaneo 2025\235\RS_O-IPP-235-eq-O-IPP-213.docx</t>
  </si>
  <si>
    <t>IN_CódCivil-LeyNiñas.pdf</t>
  </si>
  <si>
    <t>Documentos compartidos/peticiones/Escaneo 2025/235/IN_CódCivil-LeyNiñas.pdf</t>
  </si>
  <si>
    <t>Escaneo 2025\235\IN_CódCivil-LeyNiñas.pdf</t>
  </si>
  <si>
    <t>RS_O-IPP-206-OFICIO F.pdf</t>
  </si>
  <si>
    <t>Documentos compartidos/peticiones/Escaneo 2025/206/RS_O-IPP-206-OFICIO F.pdf</t>
  </si>
  <si>
    <t>Escaneo 2025\206\RS_O-IPP-206-OFICIO F.pdf</t>
  </si>
  <si>
    <t>EN_Of-CDH-YLDS.SAT.136.25.pdf</t>
  </si>
  <si>
    <t>Documentos compartidos/peticiones/Escaneo 2025/206/EN_Of-CDH-YLDS.SAT.136.25.pdf</t>
  </si>
  <si>
    <t>Escaneo 2025\206\EN_Of-CDH-YLDS.SAT.136.25.pdf</t>
  </si>
  <si>
    <t>IN_CódPenal-Art51-LeyDerHum-Art.45.pdf</t>
  </si>
  <si>
    <t>Documentos compartidos/peticiones/Escaneo 2025/206/IN_CódPenal-Art51-LeyDerHum-Art.45.pdf</t>
  </si>
  <si>
    <t>Escaneo 2025\206\IN_CódPenal-Art51-LeyDerHum-Art.45.pdf</t>
  </si>
  <si>
    <t>IN_LeyEdu-MenstrDigna.pdf</t>
  </si>
  <si>
    <t>Documentos compartidos/peticiones/Escaneo 2025/207/IN_LeyEdu-MenstrDigna.pdf</t>
  </si>
  <si>
    <t>Escaneo 2025\207\IN_LeyEdu-MenstrDigna.pdf</t>
  </si>
  <si>
    <t>RS_O-IPP-204-OFICIO F.pdf</t>
  </si>
  <si>
    <t>Documentos compartidos/peticiones/Escaneo 2025/204/RS_O-IPP-204-OFICIO F.pdf</t>
  </si>
  <si>
    <t>Escaneo 2025\204\RS_O-IPP-204-OFICIO F.pdf</t>
  </si>
  <si>
    <t>IN_LeySeguridadPúb-Art-21.pdf</t>
  </si>
  <si>
    <t>Documentos compartidos/peticiones/Escaneo 2025/204/IN_LeySeguridadPúb-Art-21.pdf</t>
  </si>
  <si>
    <t>Escaneo 2025\204\IN_LeySeguridadPúb-Art-21.pdf</t>
  </si>
  <si>
    <t>IN_LeyCambioClimatico-Art8y9.pdf</t>
  </si>
  <si>
    <t>Documentos compartidos/peticiones/Escaneo 2025/238/IN_LeyCambioClimatico-Art8y9.pdf</t>
  </si>
  <si>
    <t>Escaneo 2025\238\IN_LeyCambioClimatico-Art8y9.pdf</t>
  </si>
  <si>
    <t>RS_IFO-150-SistPenit-VRRA.docx</t>
  </si>
  <si>
    <t>Documentos compartidos/peticiones/Escaneo 2025/150/RS_IFO-150-SistPenit-VRRA.docx</t>
  </si>
  <si>
    <t>Escaneo 2025\150\RS_IFO-150-SistPenit-VRRA.docx</t>
  </si>
  <si>
    <t>RS_O-IFO-150-OFICIO F.pdf</t>
  </si>
  <si>
    <t>Documentos compartidos/peticiones/Escaneo 2025/150/RS_O-IFO-150-OFICIO F.pdf</t>
  </si>
  <si>
    <t>Escaneo 2025\150\RS_O-IFO-150-OFICIO F.pdf</t>
  </si>
  <si>
    <t>IN_LeyAdmon-LeyConsumidor.pdf</t>
  </si>
  <si>
    <t>Documentos compartidos/peticiones/Escaneo 2025/222/IN_LeyAdmon-LeyConsumidor.pdf</t>
  </si>
  <si>
    <t>Escaneo 2025\222\IN_LeyAdmon-LeyConsumidor.pdf</t>
  </si>
  <si>
    <t>RS_O-IPP-144-OFICIO MA-F.pdf</t>
  </si>
  <si>
    <t>Documentos compartidos/peticiones/Escaneo 2025/144/RS_O-IPP-144-OFICIO MA-F.pdf</t>
  </si>
  <si>
    <t>Escaneo 2025\144\RS_O-IPP-144-OFICIO MA-F.pdf</t>
  </si>
  <si>
    <t>RS_O-IPP-073.6-OFICIO-MA-F.pdf</t>
  </si>
  <si>
    <t>Documentos compartidos/peticiones/Escaneo 2025/073/6/RS_O-IPP-073.6-OFICIO-MA-F.pdf</t>
  </si>
  <si>
    <t>Escaneo 2025\073\6\RS_O-IPP-073.6-OFICIO-MA-F.pdf</t>
  </si>
  <si>
    <t>RS_IPP-073.6-OFICIO-VR_m.docx</t>
  </si>
  <si>
    <t>Documentos compartidos/peticiones/Escaneo 2025/073/6/RS_IPP-073.6-OFICIO-VR_m.docx</t>
  </si>
  <si>
    <t>Escaneo 2025\073\6\RS_IPP-073.6-OFICIO-VR_m.docx</t>
  </si>
  <si>
    <t>VL_IPP-073.5-MA.pdf</t>
  </si>
  <si>
    <t>Documentos compartidos/peticiones/Escaneo 2025/073/5/VL_IPP-073.5-MA.pdf</t>
  </si>
  <si>
    <t>Escaneo 2025\073\5\VL_IPP-073.5-MA.pdf</t>
  </si>
  <si>
    <t>RS_O-IPP-073.5-OFICIO F.pdf</t>
  </si>
  <si>
    <t>Documentos compartidos/peticiones/Escaneo 2025/073/5/RS_O-IPP-073.5-OFICIO F.pdf</t>
  </si>
  <si>
    <t>Escaneo 2025\073\5\RS_O-IPP-073.5-OFICIO F.pdf</t>
  </si>
  <si>
    <t>IN_CódPen-Art-201-Art-201Bis.pdf</t>
  </si>
  <si>
    <t>Documentos compartidos/peticiones/Escaneo 2025/242/IN_CódPen-Art-201-Art-201Bis.pdf</t>
  </si>
  <si>
    <t>Escaneo 2025\242\IN_CódPen-Art-201-Art-201Bis.pdf</t>
  </si>
  <si>
    <t>RS_O-IPP-217-OFCIO F.pdf</t>
  </si>
  <si>
    <t>Documentos compartidos/peticiones/Escaneo 2025/217/RS_O-IPP-217-OFCIO F.pdf</t>
  </si>
  <si>
    <t>Escaneo 2025\217\RS_O-IPP-217-OFCIO F.pdf</t>
  </si>
  <si>
    <t>IN_LeyPersMigrantes.pdf</t>
  </si>
  <si>
    <t>Documentos compartidos/peticiones/Escaneo 2025/217/IN_LeyPersMigrantes.pdf</t>
  </si>
  <si>
    <t>Escaneo 2025\217\IN_LeyPersMigrantes.pdf</t>
  </si>
  <si>
    <t>VL_IPP-217-R M.pdf</t>
  </si>
  <si>
    <t>Documentos compartidos/peticiones/Escaneo 2025/217/VL_IPP-217-R M.pdf</t>
  </si>
  <si>
    <t>Escaneo 2025\217\VL_IPP-217-R M.pdf</t>
  </si>
  <si>
    <t>RS_O-IPP-082.1-OFICIO F.pdf</t>
  </si>
  <si>
    <t>Documentos compartidos/peticiones/Escaneo 2025/082/1/RS_O-IPP-082.1-OFICIO F.pdf</t>
  </si>
  <si>
    <t>Escaneo 2025\082\1\RS_O-IPP-082.1-OFICIO F.pdf</t>
  </si>
  <si>
    <t>RS_O-IPP-082.2-Oficio F.pdf</t>
  </si>
  <si>
    <t>Documentos compartidos/peticiones/Escaneo 2025/082/2/RS_O-IPP-082.2-Oficio F.pdf</t>
  </si>
  <si>
    <t>Escaneo 2025\082\2\RS_O-IPP-082.2-Oficio F.pdf</t>
  </si>
  <si>
    <t>RS_O-IPP-084-OFICIO F.pdf</t>
  </si>
  <si>
    <t>Documentos compartidos/peticiones/Escaneo 2025/084/RS_O-IPP-084-OFICIO F.pdf</t>
  </si>
  <si>
    <t>Escaneo 2025\084\RS_O-IPP-084-OFICIO F.pdf</t>
  </si>
  <si>
    <t>RS_O-IPP-202-OFICIO F.pdf</t>
  </si>
  <si>
    <t>Documentos compartidos/peticiones/Escaneo 2025/202/RS_O-IPP-202-OFICIO F.pdf</t>
  </si>
  <si>
    <t>Escaneo 2025\202\RS_O-IPP-202-OFICIO F.pdf</t>
  </si>
  <si>
    <t>RS_O-IPP-209-OFICIO F.pdf</t>
  </si>
  <si>
    <t>Documentos compartidos/peticiones/Escaneo 2025/209/RS_O-IPP-209-OFICIO F.pdf</t>
  </si>
  <si>
    <t>Escaneo 2025\209\RS_O-IPP-209-OFICIO F.pdf</t>
  </si>
  <si>
    <t>WK_Censo2024-SdosSegPub.xlsx</t>
  </si>
  <si>
    <t>Documentos compartidos/peticiones/Escaneo 2025/219/WK_Censo2024-SdosSegPub.xlsx</t>
  </si>
  <si>
    <t>Escaneo 2025\219\WK_Censo2024-SdosSegPub.xlsx</t>
  </si>
  <si>
    <t>IN_Opinión-IPP-069.docx</t>
  </si>
  <si>
    <t>Documentos compartidos/peticiones/Escaneo 2025/069/6/IN_Opinión-IPP-069.docx</t>
  </si>
  <si>
    <t>Escaneo 2025\069\6\IN_Opinión-IPP-069.docx</t>
  </si>
  <si>
    <t>RS_O IPP 057 2025 OFICIO F.pdf</t>
  </si>
  <si>
    <t>Documentos compartidos/peticiones/Escaneo 2025/057/RS_O IPP 057 2025 OFICIO F.pdf</t>
  </si>
  <si>
    <t>Escaneo 2025\057\RS_O IPP 057 2025 OFICIO F.pdf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</si>
</sst>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b/>
      <sz val="11"/>
      <color theme="9" tint="0.79998168889431442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-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2" borderId="0" xfId="0" applyFont="1" applyFill="1"/>
    <xf numFmtId="0" fontId="0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J304"/>
  <sheetViews>
    <sheetView tabSelected="1" topLeftCell="J1" workbookViewId="0">
      <selection activeCell="J219" sqref="J2:J219"/>
    </sheetView>
  </sheetViews>
  <sheetFormatPr defaultColWidth="11.42578125" defaultRowHeight="15" x14ac:dyDescent="0.25"/>
  <cols>
    <col min="1" max="1" width="5" bestFit="1" customWidth="1"/>
    <col min="2" max="2" width="5" customWidth="1"/>
    <col min="3" max="3" width="34" customWidth="1"/>
    <col min="4" max="5" width="106.7109375" customWidth="1"/>
    <col min="6" max="6" width="104.5703125" customWidth="1"/>
    <col min="7" max="7" width="70.28515625" bestFit="1" customWidth="1"/>
    <col min="8" max="8" width="61.42578125" bestFit="1" customWidth="1"/>
    <col min="9" max="9" width="100.140625" bestFit="1" customWidth="1"/>
    <col min="10" max="10" width="65.85546875" bestFit="1" customWidth="1"/>
  </cols>
  <sheetData>
    <row r="1" spans="1:10" x14ac:dyDescent="0.25">
      <c r="A1" s="1" t="s">
        <v>0</v>
      </c>
      <c r="B1" s="1" t="s">
        <v>2</v>
      </c>
      <c r="C1" s="1" t="s">
        <v>1</v>
      </c>
      <c r="D1" s="1" t="s">
        <v>3</v>
      </c>
      <c r="E1" s="1" t="s">
        <v>4</v>
      </c>
      <c r="F1" s="1" t="s">
        <v>8</v>
      </c>
      <c r="G1" s="1" t="s">
        <v>9</v>
      </c>
      <c r="H1" s="1" t="s">
        <v>5</v>
      </c>
      <c r="I1" s="1" t="s">
        <v>6</v>
      </c>
      <c r="J1" s="1" t="s">
        <v>7</v>
      </c>
    </row>
    <row r="2" spans="1:10" x14ac:dyDescent="0.25">
      <c r="A2">
        <v>253</v>
      </c>
      <c r="B2">
        <f>LEN(C2)</f>
        <v>18</v>
      </c>
      <c r="C2" s="2" t="s">
        <v>10</v>
      </c>
      <c r="D2" t="s">
        <v>11</v>
      </c>
      <c r="E2" t="s">
        <v>12</v>
      </c>
      <c r="F2" t="str">
        <f>TRIM(MID(D2,1,lastSt1("/",D2))&amp;TRIM(C2))</f>
        <v>Documentos compartidos/peticiones/Escaneo 2025/174/RS_IPP 174Rev.docx</v>
      </c>
      <c r="G2" t="str">
        <f>TRIM(MID(replaceSt(E2,"\","\\"),1,lastSt1("\",replaceSt(E2,"\","\\")))&amp;TRIM(C2))</f>
        <v>Escaneo 2025\\174\\RS_IPP 174Rev.docx</v>
      </c>
      <c r="H2" t="str">
        <f>"notFoundFile.append('"&amp;TRIM(C2)&amp;"')"</f>
        <v>notFoundFile.append('RS_IPP 174Rev.docx')</v>
      </c>
      <c r="I2" t="str">
        <f>"notFoundWeb.append('"&amp;F2&amp;"')"</f>
        <v>notFoundWeb.append('Documentos compartidos/peticiones/Escaneo 2025/174/RS_IPP 174Rev.docx')</v>
      </c>
      <c r="J2" t="str">
        <f>"notFoundLocal.append('"&amp;G2&amp;"')"</f>
        <v>notFoundLocal.append('Escaneo 2025\\174\\RS_IPP 174Rev.docx')</v>
      </c>
    </row>
    <row r="3" spans="1:10" x14ac:dyDescent="0.25">
      <c r="A3">
        <v>156</v>
      </c>
      <c r="B3">
        <f>LEN(C3)</f>
        <v>27</v>
      </c>
      <c r="C3" t="s">
        <v>13</v>
      </c>
      <c r="D3" t="s">
        <v>14</v>
      </c>
      <c r="E3" t="s">
        <v>15</v>
      </c>
      <c r="F3" t="str">
        <f>TRIM(MID(D3,1,lastSt1("/",D3))&amp;TRIM(C3))</f>
        <v>Documentos compartidos/peticiones/Escaneo 2025/174/RS_O IPP 174 OFICIO R F.pdf</v>
      </c>
      <c r="G3" t="str">
        <f>TRIM(MID(replaceSt(E3,"\","\\"),1,lastSt1("\",replaceSt(E3,"\","\\")))&amp;TRIM(C3))</f>
        <v>Escaneo 2025\\174\\RS_O IPP 174 OFICIO R F.pdf</v>
      </c>
      <c r="H3" t="str">
        <f>"notFoundFile.append('"&amp;TRIM(C3)&amp;"')"</f>
        <v>notFoundFile.append('RS_O IPP 174 OFICIO R F.pdf')</v>
      </c>
      <c r="I3" t="str">
        <f>"notFoundWeb.append('"&amp;F3&amp;"')"</f>
        <v>notFoundWeb.append('Documentos compartidos/peticiones/Escaneo 2025/174/RS_O IPP 174 OFICIO R F.pdf')</v>
      </c>
      <c r="J3" t="str">
        <f>"notFoundLocal.append('"&amp;G3&amp;"')"</f>
        <v>notFoundLocal.append('Escaneo 2025\\174\\RS_O IPP 174 OFICIO R F.pdf')</v>
      </c>
    </row>
    <row r="4" spans="1:10" x14ac:dyDescent="0.25">
      <c r="A4">
        <v>173</v>
      </c>
      <c r="B4">
        <f>LEN(C4)</f>
        <v>23</v>
      </c>
      <c r="C4" t="s">
        <v>650</v>
      </c>
      <c r="D4" t="s">
        <v>651</v>
      </c>
      <c r="E4" t="s">
        <v>652</v>
      </c>
      <c r="F4" t="str">
        <f>TRIM(MID(D4,1,lastSt1("/",D4))&amp;TRIM(C4))</f>
        <v>Documentos compartidos/peticiones/Escaneo 2025/069/6/IN_Opinión-IPP-069.docx</v>
      </c>
      <c r="G4" t="str">
        <f>TRIM(MID(replaceSt(E4,"\","\\"),1,lastSt1("\",replaceSt(E4,"\","\\")))&amp;TRIM(C4))</f>
        <v>Escaneo 2025\\069\\6\\IN_Opinión-IPP-069.docx</v>
      </c>
      <c r="H4" t="str">
        <f>"notFoundFile.append('"&amp;TRIM(C4)&amp;"')"</f>
        <v>notFoundFile.append('IN_Opinión-IPP-069.docx')</v>
      </c>
      <c r="I4" t="str">
        <f>"notFoundWeb.append('"&amp;F4&amp;"')"</f>
        <v>notFoundWeb.append('Documentos compartidos/peticiones/Escaneo 2025/069/6/IN_Opinión-IPP-069.docx')</v>
      </c>
      <c r="J4" t="str">
        <f>"notFoundLocal.append('"&amp;G4&amp;"')"</f>
        <v>notFoundLocal.append('Escaneo 2025\\069\\6\\IN_Opinión-IPP-069.docx')</v>
      </c>
    </row>
    <row r="5" spans="1:10" x14ac:dyDescent="0.25">
      <c r="A5">
        <v>147</v>
      </c>
      <c r="B5">
        <f>LEN(C5)</f>
        <v>25</v>
      </c>
      <c r="C5" t="s">
        <v>253</v>
      </c>
      <c r="D5" t="s">
        <v>254</v>
      </c>
      <c r="E5" t="s">
        <v>255</v>
      </c>
      <c r="F5" t="str">
        <f>TRIM(MID(D5,1,lastSt1("/",D5))&amp;TRIM(C5))</f>
        <v>Documentos compartidos/peticiones/Escaneo 2025/069/1/RS_IPP-069-1_Atn_Dom.docx</v>
      </c>
      <c r="G5" t="str">
        <f>TRIM(MID(replaceSt(E5,"\","\\"),1,lastSt1("\",replaceSt(E5,"\","\\")))&amp;TRIM(C5))</f>
        <v>Escaneo 2025\\069\\1\\RS_IPP-069-1_Atn_Dom.docx</v>
      </c>
      <c r="H5" t="str">
        <f>"notFoundFile.append('"&amp;TRIM(C5)&amp;"')"</f>
        <v>notFoundFile.append('RS_IPP-069-1_Atn_Dom.docx')</v>
      </c>
      <c r="I5" t="str">
        <f>"notFoundWeb.append('"&amp;F5&amp;"')"</f>
        <v>notFoundWeb.append('Documentos compartidos/peticiones/Escaneo 2025/069/1/RS_IPP-069-1_Atn_Dom.docx')</v>
      </c>
      <c r="J5" t="str">
        <f>"notFoundLocal.append('"&amp;G5&amp;"')"</f>
        <v>notFoundLocal.append('Escaneo 2025\\069\\1\\RS_IPP-069-1_Atn_Dom.docx')</v>
      </c>
    </row>
    <row r="6" spans="1:10" x14ac:dyDescent="0.25">
      <c r="A6">
        <v>103</v>
      </c>
      <c r="B6">
        <f>LEN(C6)</f>
        <v>27</v>
      </c>
      <c r="C6" t="s">
        <v>256</v>
      </c>
      <c r="D6" t="s">
        <v>257</v>
      </c>
      <c r="E6" t="s">
        <v>258</v>
      </c>
      <c r="F6" t="str">
        <f>TRIM(MID(D6,1,lastSt1("/",D6))&amp;TRIM(C6))</f>
        <v>Documentos compartidos/peticiones/Escaneo 2025/069/1/RS_O-IPP-069.1-OFICIO F.pdf</v>
      </c>
      <c r="G6" t="str">
        <f>TRIM(MID(replaceSt(E6,"\","\\"),1,lastSt1("\",replaceSt(E6,"\","\\")))&amp;TRIM(C6))</f>
        <v>Escaneo 2025\\069\\1\\RS_O-IPP-069.1-OFICIO F.pdf</v>
      </c>
      <c r="H6" t="str">
        <f>"notFoundFile.append('"&amp;TRIM(C6)&amp;"')"</f>
        <v>notFoundFile.append('RS_O-IPP-069.1-OFICIO F.pdf')</v>
      </c>
      <c r="I6" t="str">
        <f>"notFoundWeb.append('"&amp;F6&amp;"')"</f>
        <v>notFoundWeb.append('Documentos compartidos/peticiones/Escaneo 2025/069/1/RS_O-IPP-069.1-OFICIO F.pdf')</v>
      </c>
      <c r="J6" t="str">
        <f>"notFoundLocal.append('"&amp;G6&amp;"')"</f>
        <v>notFoundLocal.append('Escaneo 2025\\069\\1\\RS_O-IPP-069.1-OFICIO F.pdf')</v>
      </c>
    </row>
    <row r="7" spans="1:10" x14ac:dyDescent="0.25">
      <c r="A7">
        <v>58</v>
      </c>
      <c r="B7">
        <f>LEN(C7)</f>
        <v>20</v>
      </c>
      <c r="C7" t="s">
        <v>16</v>
      </c>
      <c r="D7" t="s">
        <v>17</v>
      </c>
      <c r="E7" t="s">
        <v>18</v>
      </c>
      <c r="F7" t="str">
        <f>TRIM(MID(D7,1,lastSt1("/",D7))&amp;TRIM(C7))</f>
        <v>Documentos compartidos/peticiones/Escaneo 2025/069/2/RS_RS_IPP_069-2.docx</v>
      </c>
      <c r="G7" t="str">
        <f>TRIM(MID(replaceSt(E7,"\","\\"),1,lastSt1("\",replaceSt(E7,"\","\\")))&amp;TRIM(C7))</f>
        <v>Escaneo 2025\\069\\2\\RS_RS_IPP_069-2.docx</v>
      </c>
      <c r="H7" t="str">
        <f>"notFoundFile.append('"&amp;TRIM(C7)&amp;"')"</f>
        <v>notFoundFile.append('RS_RS_IPP_069-2.docx')</v>
      </c>
      <c r="I7" t="str">
        <f>"notFoundWeb.append('"&amp;F7&amp;"')"</f>
        <v>notFoundWeb.append('Documentos compartidos/peticiones/Escaneo 2025/069/2/RS_RS_IPP_069-2.docx')</v>
      </c>
      <c r="J7" t="str">
        <f>"notFoundLocal.append('"&amp;G7&amp;"')"</f>
        <v>notFoundLocal.append('Escaneo 2025\\069\\2\\RS_RS_IPP_069-2.docx')</v>
      </c>
    </row>
    <row r="8" spans="1:10" x14ac:dyDescent="0.25">
      <c r="A8">
        <v>87</v>
      </c>
      <c r="B8">
        <f>LEN(C8)</f>
        <v>29</v>
      </c>
      <c r="C8" t="s">
        <v>259</v>
      </c>
      <c r="D8" t="s">
        <v>260</v>
      </c>
      <c r="E8" t="s">
        <v>261</v>
      </c>
      <c r="F8" t="str">
        <f>TRIM(MID(D8,1,lastSt1("/",D8))&amp;TRIM(C8))</f>
        <v>Documentos compartidos/peticiones/Escaneo 2025/220/EN_OfDipMoreira-ST.143.25.pdf</v>
      </c>
      <c r="G8" t="str">
        <f>TRIM(MID(replaceSt(E8,"\","\\"),1,lastSt1("\",replaceSt(E8,"\","\\")))&amp;TRIM(C8))</f>
        <v>Escaneo 2025\\220\\EN_OfDipMoreira-ST.143.25.pdf</v>
      </c>
      <c r="H8" t="str">
        <f>"notFoundFile.append('"&amp;TRIM(C8)&amp;"')"</f>
        <v>notFoundFile.append('EN_OfDipMoreira-ST.143.25.pdf')</v>
      </c>
      <c r="I8" t="str">
        <f>"notFoundWeb.append('"&amp;F8&amp;"')"</f>
        <v>notFoundWeb.append('Documentos compartidos/peticiones/Escaneo 2025/220/EN_OfDipMoreira-ST.143.25.pdf')</v>
      </c>
      <c r="J8" t="str">
        <f>"notFoundLocal.append('"&amp;G8&amp;"')"</f>
        <v>notFoundLocal.append('Escaneo 2025\\220\\EN_OfDipMoreira-ST.143.25.pdf')</v>
      </c>
    </row>
    <row r="9" spans="1:10" x14ac:dyDescent="0.25">
      <c r="A9">
        <v>1</v>
      </c>
      <c r="B9">
        <f>LEN(C9)</f>
        <v>29</v>
      </c>
      <c r="C9" t="s">
        <v>262</v>
      </c>
      <c r="D9" t="s">
        <v>263</v>
      </c>
      <c r="E9" t="s">
        <v>264</v>
      </c>
      <c r="F9" t="str">
        <f>TRIM(MID(D9,1,lastSt1("/",D9))&amp;TRIM(C9))</f>
        <v>Documentos compartidos/peticiones/Escaneo 2025/220/WK_IFO-220-SegPública-VF.docx</v>
      </c>
      <c r="G9" t="str">
        <f>TRIM(MID(replaceSt(E9,"\","\\"),1,lastSt1("\",replaceSt(E9,"\","\\")))&amp;TRIM(C9))</f>
        <v>Escaneo 2025\\220\\WK_IFO-220-SegPública-VF.docx</v>
      </c>
      <c r="H9" t="str">
        <f>"notFoundFile.append('"&amp;TRIM(C9)&amp;"')"</f>
        <v>notFoundFile.append('WK_IFO-220-SegPública-VF.docx')</v>
      </c>
      <c r="I9" t="str">
        <f>"notFoundWeb.append('"&amp;F9&amp;"')"</f>
        <v>notFoundWeb.append('Documentos compartidos/peticiones/Escaneo 2025/220/WK_IFO-220-SegPública-VF.docx')</v>
      </c>
      <c r="J9" t="str">
        <f>"notFoundLocal.append('"&amp;G9&amp;"')"</f>
        <v>notFoundLocal.append('Escaneo 2025\\220\\WK_IFO-220-SegPública-VF.docx')</v>
      </c>
    </row>
    <row r="10" spans="1:10" x14ac:dyDescent="0.25">
      <c r="A10">
        <v>227</v>
      </c>
      <c r="B10">
        <f>LEN(C10)</f>
        <v>25</v>
      </c>
      <c r="C10" t="s">
        <v>265</v>
      </c>
      <c r="D10" t="s">
        <v>266</v>
      </c>
      <c r="E10" t="s">
        <v>267</v>
      </c>
      <c r="F10" t="str">
        <f>TRIM(MID(D10,1,lastSt1("/",D10))&amp;TRIM(C10))</f>
        <v>Documentos compartidos/peticiones/Escaneo 2025/232/RS_O-IPP-232-OFICIO F.pdf</v>
      </c>
      <c r="G10" t="str">
        <f>TRIM(MID(replaceSt(E10,"\","\\"),1,lastSt1("\",replaceSt(E10,"\","\\")))&amp;TRIM(C10))</f>
        <v>Escaneo 2025\\232\\RS_O-IPP-232-OFICIO F.pdf</v>
      </c>
      <c r="H10" t="str">
        <f>"notFoundFile.append('"&amp;TRIM(C10)&amp;"')"</f>
        <v>notFoundFile.append('RS_O-IPP-232-OFICIO F.pdf')</v>
      </c>
      <c r="I10" t="str">
        <f>"notFoundWeb.append('"&amp;F10&amp;"')"</f>
        <v>notFoundWeb.append('Documentos compartidos/peticiones/Escaneo 2025/232/RS_O-IPP-232-OFICIO F.pdf')</v>
      </c>
      <c r="J10" t="str">
        <f>"notFoundLocal.append('"&amp;G10&amp;"')"</f>
        <v>notFoundLocal.append('Escaneo 2025\\232\\RS_O-IPP-232-OFICIO F.pdf')</v>
      </c>
    </row>
    <row r="11" spans="1:10" x14ac:dyDescent="0.25">
      <c r="A11">
        <v>59</v>
      </c>
      <c r="B11">
        <f>LEN(C11)</f>
        <v>30</v>
      </c>
      <c r="C11" t="s">
        <v>268</v>
      </c>
      <c r="D11" t="s">
        <v>269</v>
      </c>
      <c r="E11" t="s">
        <v>270</v>
      </c>
      <c r="F11" t="str">
        <f>TRIM(MID(D11,1,lastSt1("/",D11))&amp;TRIM(C11))</f>
        <v>Documentos compartidos/peticiones/Escaneo 2025/232/EN_Of-CmTransp-CTyA-120.25.pdf</v>
      </c>
      <c r="G11" t="str">
        <f>TRIM(MID(replaceSt(E11,"\","\\"),1,lastSt1("\",replaceSt(E11,"\","\\")))&amp;TRIM(C11))</f>
        <v>Escaneo 2025\\232\\EN_Of-CmTransp-CTyA-120.25.pdf</v>
      </c>
      <c r="H11" t="str">
        <f>"notFoundFile.append('"&amp;TRIM(C11)&amp;"')"</f>
        <v>notFoundFile.append('EN_Of-CmTransp-CTyA-120.25.pdf')</v>
      </c>
      <c r="I11" t="str">
        <f>"notFoundWeb.append('"&amp;F11&amp;"')"</f>
        <v>notFoundWeb.append('Documentos compartidos/peticiones/Escaneo 2025/232/EN_Of-CmTransp-CTyA-120.25.pdf')</v>
      </c>
      <c r="J11" t="str">
        <f>"notFoundLocal.append('"&amp;G11&amp;"')"</f>
        <v>notFoundLocal.append('Escaneo 2025\\232\\EN_Of-CmTransp-CTyA-120.25.pdf')</v>
      </c>
    </row>
    <row r="12" spans="1:10" x14ac:dyDescent="0.25">
      <c r="A12">
        <v>65</v>
      </c>
      <c r="B12">
        <f>LEN(C12)</f>
        <v>24</v>
      </c>
      <c r="C12" t="s">
        <v>271</v>
      </c>
      <c r="D12" t="s">
        <v>272</v>
      </c>
      <c r="E12" t="s">
        <v>273</v>
      </c>
      <c r="F12" t="str">
        <f>TRIM(MID(D12,1,lastSt1("/",D12))&amp;TRIM(C12))</f>
        <v>Documentos compartidos/peticiones/Escaneo 2025/232/IN_EjecutivoFederal.docx</v>
      </c>
      <c r="G12" t="str">
        <f>TRIM(MID(replaceSt(E12,"\","\\"),1,lastSt1("\",replaceSt(E12,"\","\\")))&amp;TRIM(C12))</f>
        <v>Escaneo 2025\\232\\IN_EjecutivoFederal.docx</v>
      </c>
      <c r="H12" t="str">
        <f>"notFoundFile.append('"&amp;TRIM(C12)&amp;"')"</f>
        <v>notFoundFile.append('IN_EjecutivoFederal.docx')</v>
      </c>
      <c r="I12" t="str">
        <f>"notFoundWeb.append('"&amp;F12&amp;"')"</f>
        <v>notFoundWeb.append('Documentos compartidos/peticiones/Escaneo 2025/232/IN_EjecutivoFederal.docx')</v>
      </c>
      <c r="J12" t="str">
        <f>"notFoundLocal.append('"&amp;G12&amp;"')"</f>
        <v>notFoundLocal.append('Escaneo 2025\\232\\IN_EjecutivoFederal.docx')</v>
      </c>
    </row>
    <row r="13" spans="1:10" x14ac:dyDescent="0.25">
      <c r="A13">
        <v>109</v>
      </c>
      <c r="B13">
        <f>LEN(C13)</f>
        <v>25</v>
      </c>
      <c r="C13" t="s">
        <v>274</v>
      </c>
      <c r="D13" t="s">
        <v>275</v>
      </c>
      <c r="E13" t="s">
        <v>276</v>
      </c>
      <c r="F13" t="str">
        <f>TRIM(MID(D13,1,lastSt1("/",D13))&amp;TRIM(C13))</f>
        <v>Documentos compartidos/peticiones/Escaneo 2025/106/WK_O-IPP-106-OFICIO F.pdf</v>
      </c>
      <c r="G13" t="str">
        <f>TRIM(MID(replaceSt(E13,"\","\\"),1,lastSt1("\",replaceSt(E13,"\","\\")))&amp;TRIM(C13))</f>
        <v>Escaneo 2025\\106\\WK_O-IPP-106-OFICIO F.pdf</v>
      </c>
      <c r="H13" t="str">
        <f>"notFoundFile.append('"&amp;TRIM(C13)&amp;"')"</f>
        <v>notFoundFile.append('WK_O-IPP-106-OFICIO F.pdf')</v>
      </c>
      <c r="I13" t="str">
        <f>"notFoundWeb.append('"&amp;F13&amp;"')"</f>
        <v>notFoundWeb.append('Documentos compartidos/peticiones/Escaneo 2025/106/WK_O-IPP-106-OFICIO F.pdf')</v>
      </c>
      <c r="J13" t="str">
        <f>"notFoundLocal.append('"&amp;G13&amp;"')"</f>
        <v>notFoundLocal.append('Escaneo 2025\\106\\WK_O-IPP-106-OFICIO F.pdf')</v>
      </c>
    </row>
    <row r="14" spans="1:10" x14ac:dyDescent="0.25">
      <c r="A14">
        <v>106</v>
      </c>
      <c r="B14">
        <f>LEN(C14)</f>
        <v>28</v>
      </c>
      <c r="C14" t="s">
        <v>19</v>
      </c>
      <c r="D14" t="s">
        <v>20</v>
      </c>
      <c r="E14" t="s">
        <v>21</v>
      </c>
      <c r="F14" t="str">
        <f>TRIM(MID(D14,1,lastSt1("/",D14))&amp;TRIM(C14))</f>
        <v>Documentos compartidos/peticiones/Escaneo 2025/228/EN_OFICIO LXVISAT1552025.pdf</v>
      </c>
      <c r="G14" t="str">
        <f>TRIM(MID(replaceSt(E14,"\","\\"),1,lastSt1("\",replaceSt(E14,"\","\\")))&amp;TRIM(C14))</f>
        <v>Escaneo 2025\\228\\EN_OFICIO LXVISAT1552025.pdf</v>
      </c>
      <c r="H14" t="str">
        <f>"notFoundFile.append('"&amp;TRIM(C14)&amp;"')"</f>
        <v>notFoundFile.append('EN_OFICIO LXVISAT1552025.pdf')</v>
      </c>
      <c r="I14" t="str">
        <f>"notFoundWeb.append('"&amp;F14&amp;"')"</f>
        <v>notFoundWeb.append('Documentos compartidos/peticiones/Escaneo 2025/228/EN_OFICIO LXVISAT1552025.pdf')</v>
      </c>
      <c r="J14" t="str">
        <f>"notFoundLocal.append('"&amp;G14&amp;"')"</f>
        <v>notFoundLocal.append('Escaneo 2025\\228\\EN_OFICIO LXVISAT1552025.pdf')</v>
      </c>
    </row>
    <row r="15" spans="1:10" x14ac:dyDescent="0.25">
      <c r="A15">
        <v>47</v>
      </c>
      <c r="B15">
        <f>LEN(C15)</f>
        <v>38</v>
      </c>
      <c r="C15" t="s">
        <v>277</v>
      </c>
      <c r="D15" t="s">
        <v>278</v>
      </c>
      <c r="E15" t="s">
        <v>279</v>
      </c>
      <c r="F15" t="str">
        <f>TRIM(MID(D15,1,lastSt1("/",D15))&amp;TRIM(C15))</f>
        <v>Documentos compartidos/peticiones/Escaneo 2025/228/IN_LeyDiscrAnimales-FracXXXVI-Art9.pdf</v>
      </c>
      <c r="G15" t="str">
        <f>TRIM(MID(replaceSt(E15,"\","\\"),1,lastSt1("\",replaceSt(E15,"\","\\")))&amp;TRIM(C15))</f>
        <v>Escaneo 2025\\228\\IN_LeyDiscrAnimales-FracXXXVI-Art9.pdf</v>
      </c>
      <c r="H15" t="str">
        <f>"notFoundFile.append('"&amp;TRIM(C15)&amp;"')"</f>
        <v>notFoundFile.append('IN_LeyDiscrAnimales-FracXXXVI-Art9.pdf')</v>
      </c>
      <c r="I15" t="str">
        <f>"notFoundWeb.append('"&amp;F15&amp;"')"</f>
        <v>notFoundWeb.append('Documentos compartidos/peticiones/Escaneo 2025/228/IN_LeyDiscrAnimales-FracXXXVI-Art9.pdf')</v>
      </c>
      <c r="J15" t="str">
        <f>"notFoundLocal.append('"&amp;G15&amp;"')"</f>
        <v>notFoundLocal.append('Escaneo 2025\\228\\IN_LeyDiscrAnimales-FracXXXVI-Art9.pdf')</v>
      </c>
    </row>
    <row r="16" spans="1:10" x14ac:dyDescent="0.25">
      <c r="A16">
        <v>267</v>
      </c>
      <c r="B16">
        <f>LEN(C16)</f>
        <v>24</v>
      </c>
      <c r="C16" t="s">
        <v>22</v>
      </c>
      <c r="D16" t="s">
        <v>23</v>
      </c>
      <c r="E16" t="s">
        <v>24</v>
      </c>
      <c r="F16" t="str">
        <f>TRIM(MID(D16,1,lastSt1("/",D16))&amp;TRIM(C16))</f>
        <v>Documentos compartidos/peticiones/Escaneo 2025/060/RS_O IPP 060 OFICIO.docx</v>
      </c>
      <c r="G16" t="str">
        <f>TRIM(MID(replaceSt(E16,"\","\\"),1,lastSt1("\",replaceSt(E16,"\","\\")))&amp;TRIM(C16))</f>
        <v>Escaneo 2025\\060\\RS_O IPP 060 OFICIO.docx</v>
      </c>
      <c r="H16" t="str">
        <f>"notFoundFile.append('"&amp;TRIM(C16)&amp;"')"</f>
        <v>notFoundFile.append('RS_O IPP 060 OFICIO.docx')</v>
      </c>
      <c r="I16" t="str">
        <f>"notFoundWeb.append('"&amp;F16&amp;"')"</f>
        <v>notFoundWeb.append('Documentos compartidos/peticiones/Escaneo 2025/060/RS_O IPP 060 OFICIO.docx')</v>
      </c>
      <c r="J16" t="str">
        <f>"notFoundLocal.append('"&amp;G16&amp;"')"</f>
        <v>notFoundLocal.append('Escaneo 2025\\060\\RS_O IPP 060 OFICIO.docx')</v>
      </c>
    </row>
    <row r="17" spans="1:10" x14ac:dyDescent="0.25">
      <c r="A17">
        <v>132</v>
      </c>
      <c r="B17">
        <f>LEN(C17)</f>
        <v>36</v>
      </c>
      <c r="C17" t="s">
        <v>280</v>
      </c>
      <c r="D17" t="s">
        <v>281</v>
      </c>
      <c r="E17" t="s">
        <v>282</v>
      </c>
      <c r="F17" t="str">
        <f>TRIM(MID(D17,1,lastSt1("/",D17))&amp;TRIM(C17))</f>
        <v>Documentos compartidos/peticiones/Escaneo 2025/212/RS_O-IPP-212-eq-O-IPP-211y025.7.docx</v>
      </c>
      <c r="G17" t="str">
        <f>TRIM(MID(replaceSt(E17,"\","\\"),1,lastSt1("\",replaceSt(E17,"\","\\")))&amp;TRIM(C17))</f>
        <v>Escaneo 2025\\212\\RS_O-IPP-212-eq-O-IPP-211y025.7.docx</v>
      </c>
      <c r="H17" t="str">
        <f>"notFoundFile.append('"&amp;TRIM(C17)&amp;"')"</f>
        <v>notFoundFile.append('RS_O-IPP-212-eq-O-IPP-211y025.7.docx')</v>
      </c>
      <c r="I17" t="str">
        <f>"notFoundWeb.append('"&amp;F17&amp;"')"</f>
        <v>notFoundWeb.append('Documentos compartidos/peticiones/Escaneo 2025/212/RS_O-IPP-212-eq-O-IPP-211y025.7.docx')</v>
      </c>
      <c r="J17" t="str">
        <f>"notFoundLocal.append('"&amp;G17&amp;"')"</f>
        <v>notFoundLocal.append('Escaneo 2025\\212\\RS_O-IPP-212-eq-O-IPP-211y025.7.docx')</v>
      </c>
    </row>
    <row r="18" spans="1:10" x14ac:dyDescent="0.25">
      <c r="A18">
        <v>136</v>
      </c>
      <c r="B18">
        <f>LEN(C18)</f>
        <v>31</v>
      </c>
      <c r="C18" t="s">
        <v>283</v>
      </c>
      <c r="D18" t="s">
        <v>284</v>
      </c>
      <c r="E18" t="s">
        <v>285</v>
      </c>
      <c r="F18" t="str">
        <f>TRIM(MID(D18,1,lastSt1("/",D18))&amp;TRIM(C18))</f>
        <v>Documentos compartidos/peticiones/Escaneo 2025/212/IN_LeyImplRespAfromexicanas.pdf</v>
      </c>
      <c r="G18" t="str">
        <f>TRIM(MID(replaceSt(E18,"\","\\"),1,lastSt1("\",replaceSt(E18,"\","\\")))&amp;TRIM(C18))</f>
        <v>Escaneo 2025\\212\\IN_LeyImplRespAfromexicanas.pdf</v>
      </c>
      <c r="H18" t="str">
        <f>"notFoundFile.append('"&amp;TRIM(C18)&amp;"')"</f>
        <v>notFoundFile.append('IN_LeyImplRespAfromexicanas.pdf')</v>
      </c>
      <c r="I18" t="str">
        <f>"notFoundWeb.append('"&amp;F18&amp;"')"</f>
        <v>notFoundWeb.append('Documentos compartidos/peticiones/Escaneo 2025/212/IN_LeyImplRespAfromexicanas.pdf')</v>
      </c>
      <c r="J18" t="str">
        <f>"notFoundLocal.append('"&amp;G18&amp;"')"</f>
        <v>notFoundLocal.append('Escaneo 2025\\212\\IN_LeyImplRespAfromexicanas.pdf')</v>
      </c>
    </row>
    <row r="19" spans="1:10" x14ac:dyDescent="0.25">
      <c r="A19">
        <v>69</v>
      </c>
      <c r="B19">
        <f>LEN(C19)</f>
        <v>25</v>
      </c>
      <c r="C19" t="s">
        <v>286</v>
      </c>
      <c r="D19" t="s">
        <v>287</v>
      </c>
      <c r="E19" t="s">
        <v>288</v>
      </c>
      <c r="F19" t="str">
        <f>TRIM(MID(D19,1,lastSt1("/",D19))&amp;TRIM(C19))</f>
        <v>Documentos compartidos/peticiones/Escaneo 2025/212/RS_O-IPP-212-OFICIO F.pdf</v>
      </c>
      <c r="G19" t="str">
        <f>TRIM(MID(replaceSt(E19,"\","\\"),1,lastSt1("\",replaceSt(E19,"\","\\")))&amp;TRIM(C19))</f>
        <v>Escaneo 2025\\212\\RS_O-IPP-212-OFICIO F.pdf</v>
      </c>
      <c r="H19" t="str">
        <f>"notFoundFile.append('"&amp;TRIM(C19)&amp;"')"</f>
        <v>notFoundFile.append('RS_O-IPP-212-OFICIO F.pdf')</v>
      </c>
      <c r="I19" t="str">
        <f>"notFoundWeb.append('"&amp;F19&amp;"')"</f>
        <v>notFoundWeb.append('Documentos compartidos/peticiones/Escaneo 2025/212/RS_O-IPP-212-OFICIO F.pdf')</v>
      </c>
      <c r="J19" t="str">
        <f>"notFoundLocal.append('"&amp;G19&amp;"')"</f>
        <v>notFoundLocal.append('Escaneo 2025\\212\\RS_O-IPP-212-OFICIO F.pdf')</v>
      </c>
    </row>
    <row r="20" spans="1:10" x14ac:dyDescent="0.25">
      <c r="A20">
        <v>153</v>
      </c>
      <c r="B20">
        <f>LEN(C20)</f>
        <v>19</v>
      </c>
      <c r="C20" t="s">
        <v>25</v>
      </c>
      <c r="D20" t="s">
        <v>26</v>
      </c>
      <c r="E20" t="s">
        <v>27</v>
      </c>
      <c r="F20" t="str">
        <f>TRIM(MID(D20,1,lastSt1("/",D20))&amp;TRIM(C20))</f>
        <v>Documentos compartidos/peticiones/Escaneo 2025/212/EN_FOLIO 002180.pdf</v>
      </c>
      <c r="G20" t="str">
        <f>TRIM(MID(replaceSt(E20,"\","\\"),1,lastSt1("\",replaceSt(E20,"\","\\")))&amp;TRIM(C20))</f>
        <v>Escaneo 2025\\212\\EN_FOLIO 002180.pdf</v>
      </c>
      <c r="H20" t="str">
        <f>"notFoundFile.append('"&amp;TRIM(C20)&amp;"')"</f>
        <v>notFoundFile.append('EN_FOLIO 002180.pdf')</v>
      </c>
      <c r="I20" t="str">
        <f>"notFoundWeb.append('"&amp;F20&amp;"')"</f>
        <v>notFoundWeb.append('Documentos compartidos/peticiones/Escaneo 2025/212/EN_FOLIO 002180.pdf')</v>
      </c>
      <c r="J20" t="str">
        <f>"notFoundLocal.append('"&amp;G20&amp;"')"</f>
        <v>notFoundLocal.append('Escaneo 2025\\212\\EN_FOLIO 002180.pdf')</v>
      </c>
    </row>
    <row r="21" spans="1:10" x14ac:dyDescent="0.25">
      <c r="A21">
        <v>255</v>
      </c>
      <c r="B21">
        <f>LEN(C21)</f>
        <v>21</v>
      </c>
      <c r="C21" t="s">
        <v>289</v>
      </c>
      <c r="D21" t="s">
        <v>290</v>
      </c>
      <c r="E21" t="s">
        <v>291</v>
      </c>
      <c r="F21" t="str">
        <f>TRIM(MID(D21,1,lastSt1("/",D21))&amp;TRIM(C21))</f>
        <v>Documentos compartidos/peticiones/Escaneo 2025/205/IN_LeyTurismoCine.pdf</v>
      </c>
      <c r="G21" t="str">
        <f>TRIM(MID(replaceSt(E21,"\","\\"),1,lastSt1("\",replaceSt(E21,"\","\\")))&amp;TRIM(C21))</f>
        <v>Escaneo 2025\\205\\IN_LeyTurismoCine.pdf</v>
      </c>
      <c r="H21" t="str">
        <f>"notFoundFile.append('"&amp;TRIM(C21)&amp;"')"</f>
        <v>notFoundFile.append('IN_LeyTurismoCine.pdf')</v>
      </c>
      <c r="I21" t="str">
        <f>"notFoundWeb.append('"&amp;F21&amp;"')"</f>
        <v>notFoundWeb.append('Documentos compartidos/peticiones/Escaneo 2025/205/IN_LeyTurismoCine.pdf')</v>
      </c>
      <c r="J21" t="str">
        <f>"notFoundLocal.append('"&amp;G21&amp;"')"</f>
        <v>notFoundLocal.append('Escaneo 2025\\205\\IN_LeyTurismoCine.pdf')</v>
      </c>
    </row>
    <row r="22" spans="1:10" x14ac:dyDescent="0.25">
      <c r="A22">
        <v>200</v>
      </c>
      <c r="B22">
        <f>LEN(C22)</f>
        <v>19</v>
      </c>
      <c r="C22" t="s">
        <v>28</v>
      </c>
      <c r="D22" t="s">
        <v>29</v>
      </c>
      <c r="E22" t="s">
        <v>30</v>
      </c>
      <c r="F22" t="str">
        <f>TRIM(MID(D22,1,lastSt1("/",D22))&amp;TRIM(C22))</f>
        <v>Documentos compartidos/peticiones/Escaneo 2025/205/EN_FOLIO 002174.pdf</v>
      </c>
      <c r="G22" t="str">
        <f>TRIM(MID(replaceSt(E22,"\","\\"),1,lastSt1("\",replaceSt(E22,"\","\\")))&amp;TRIM(C22))</f>
        <v>Escaneo 2025\\205\\EN_FOLIO 002174.pdf</v>
      </c>
      <c r="H22" t="str">
        <f>"notFoundFile.append('"&amp;TRIM(C22)&amp;"')"</f>
        <v>notFoundFile.append('EN_FOLIO 002174.pdf')</v>
      </c>
      <c r="I22" t="str">
        <f>"notFoundWeb.append('"&amp;F22&amp;"')"</f>
        <v>notFoundWeb.append('Documentos compartidos/peticiones/Escaneo 2025/205/EN_FOLIO 002174.pdf')</v>
      </c>
      <c r="J22" t="str">
        <f>"notFoundLocal.append('"&amp;G22&amp;"')"</f>
        <v>notFoundLocal.append('Escaneo 2025\\205\\EN_FOLIO 002174.pdf')</v>
      </c>
    </row>
    <row r="23" spans="1:10" x14ac:dyDescent="0.25">
      <c r="A23">
        <v>178</v>
      </c>
      <c r="B23">
        <f>LEN(C23)</f>
        <v>24</v>
      </c>
      <c r="C23" t="s">
        <v>292</v>
      </c>
      <c r="D23" t="s">
        <v>293</v>
      </c>
      <c r="E23" t="s">
        <v>294</v>
      </c>
      <c r="F23" t="str">
        <f>TRIM(MID(D23,1,lastSt1("/",D23))&amp;TRIM(C23))</f>
        <v>Documentos compartidos/peticiones/Escaneo 2025/223/IN_LeyCons-Digitales.pdf</v>
      </c>
      <c r="G23" t="str">
        <f>TRIM(MID(replaceSt(E23,"\","\\"),1,lastSt1("\",replaceSt(E23,"\","\\")))&amp;TRIM(C23))</f>
        <v>Escaneo 2025\\223\\IN_LeyCons-Digitales.pdf</v>
      </c>
      <c r="H23" t="str">
        <f>"notFoundFile.append('"&amp;TRIM(C23)&amp;"')"</f>
        <v>notFoundFile.append('IN_LeyCons-Digitales.pdf')</v>
      </c>
      <c r="I23" t="str">
        <f>"notFoundWeb.append('"&amp;F23&amp;"')"</f>
        <v>notFoundWeb.append('Documentos compartidos/peticiones/Escaneo 2025/223/IN_LeyCons-Digitales.pdf')</v>
      </c>
      <c r="J23" t="str">
        <f>"notFoundLocal.append('"&amp;G23&amp;"')"</f>
        <v>notFoundLocal.append('Escaneo 2025\\223\\IN_LeyCons-Digitales.pdf')</v>
      </c>
    </row>
    <row r="24" spans="1:10" x14ac:dyDescent="0.25">
      <c r="A24">
        <v>115</v>
      </c>
      <c r="B24">
        <f>LEN(C24)</f>
        <v>19</v>
      </c>
      <c r="C24" t="s">
        <v>31</v>
      </c>
      <c r="D24" t="s">
        <v>32</v>
      </c>
      <c r="E24" t="s">
        <v>33</v>
      </c>
      <c r="F24" t="str">
        <f>TRIM(MID(D24,1,lastSt1("/",D24))&amp;TRIM(C24))</f>
        <v>Documentos compartidos/peticiones/Escaneo 2025/223/EN_FOLIO 002188.pdf</v>
      </c>
      <c r="G24" t="str">
        <f>TRIM(MID(replaceSt(E24,"\","\\"),1,lastSt1("\",replaceSt(E24,"\","\\")))&amp;TRIM(C24))</f>
        <v>Escaneo 2025\\223\\EN_FOLIO 002188.pdf</v>
      </c>
      <c r="H24" t="str">
        <f>"notFoundFile.append('"&amp;TRIM(C24)&amp;"')"</f>
        <v>notFoundFile.append('EN_FOLIO 002188.pdf')</v>
      </c>
      <c r="I24" t="str">
        <f>"notFoundWeb.append('"&amp;F24&amp;"')"</f>
        <v>notFoundWeb.append('Documentos compartidos/peticiones/Escaneo 2025/223/EN_FOLIO 002188.pdf')</v>
      </c>
      <c r="J24" t="str">
        <f>"notFoundLocal.append('"&amp;G24&amp;"')"</f>
        <v>notFoundLocal.append('Escaneo 2025\\223\\EN_FOLIO 002188.pdf')</v>
      </c>
    </row>
    <row r="25" spans="1:10" x14ac:dyDescent="0.25">
      <c r="A25">
        <v>149</v>
      </c>
      <c r="B25">
        <f>LEN(C25)</f>
        <v>22</v>
      </c>
      <c r="C25" t="s">
        <v>295</v>
      </c>
      <c r="D25" t="s">
        <v>296</v>
      </c>
      <c r="E25" t="s">
        <v>297</v>
      </c>
      <c r="F25" t="str">
        <f>TRIM(MID(D25,1,lastSt1("/",D25))&amp;TRIM(C25))</f>
        <v>Documentos compartidos/peticiones/Escaneo 2025/233/IN_LeyPesca-Art.24.pdf</v>
      </c>
      <c r="G25" t="str">
        <f>TRIM(MID(replaceSt(E25,"\","\\"),1,lastSt1("\",replaceSt(E25,"\","\\")))&amp;TRIM(C25))</f>
        <v>Escaneo 2025\\233\\IN_LeyPesca-Art.24.pdf</v>
      </c>
      <c r="H25" t="str">
        <f>"notFoundFile.append('"&amp;TRIM(C25)&amp;"')"</f>
        <v>notFoundFile.append('IN_LeyPesca-Art.24.pdf')</v>
      </c>
      <c r="I25" t="str">
        <f>"notFoundWeb.append('"&amp;F25&amp;"')"</f>
        <v>notFoundWeb.append('Documentos compartidos/peticiones/Escaneo 2025/233/IN_LeyPesca-Art.24.pdf')</v>
      </c>
      <c r="J25" t="str">
        <f>"notFoundLocal.append('"&amp;G25&amp;"')"</f>
        <v>notFoundLocal.append('Escaneo 2025\\233\\IN_LeyPesca-Art.24.pdf')</v>
      </c>
    </row>
    <row r="26" spans="1:10" x14ac:dyDescent="0.25">
      <c r="A26">
        <v>52</v>
      </c>
      <c r="B26">
        <f>LEN(C26)</f>
        <v>25</v>
      </c>
      <c r="C26" t="s">
        <v>298</v>
      </c>
      <c r="D26" t="s">
        <v>299</v>
      </c>
      <c r="E26" t="s">
        <v>300</v>
      </c>
      <c r="F26" t="str">
        <f>TRIM(MID(D26,1,lastSt1("/",D26))&amp;TRIM(C26))</f>
        <v>Documentos compartidos/peticiones/Escaneo 2025/233/EN_Of-ComPesca-138.25.pdf</v>
      </c>
      <c r="G26" t="str">
        <f>TRIM(MID(replaceSt(E26,"\","\\"),1,lastSt1("\",replaceSt(E26,"\","\\")))&amp;TRIM(C26))</f>
        <v>Escaneo 2025\\233\\EN_Of-ComPesca-138.25.pdf</v>
      </c>
      <c r="H26" t="str">
        <f>"notFoundFile.append('"&amp;TRIM(C26)&amp;"')"</f>
        <v>notFoundFile.append('EN_Of-ComPesca-138.25.pdf')</v>
      </c>
      <c r="I26" t="str">
        <f>"notFoundWeb.append('"&amp;F26&amp;"')"</f>
        <v>notFoundWeb.append('Documentos compartidos/peticiones/Escaneo 2025/233/EN_Of-ComPesca-138.25.pdf')</v>
      </c>
      <c r="J26" t="str">
        <f>"notFoundLocal.append('"&amp;G26&amp;"')"</f>
        <v>notFoundLocal.append('Escaneo 2025\\233\\EN_Of-ComPesca-138.25.pdf')</v>
      </c>
    </row>
    <row r="27" spans="1:10" x14ac:dyDescent="0.25">
      <c r="A27">
        <v>96</v>
      </c>
      <c r="B27">
        <f>LEN(C27)</f>
        <v>25</v>
      </c>
      <c r="C27" t="s">
        <v>34</v>
      </c>
      <c r="D27" t="s">
        <v>35</v>
      </c>
      <c r="E27" t="s">
        <v>36</v>
      </c>
      <c r="F27" t="str">
        <f>TRIM(MID(D27,1,lastSt1("/",D27))&amp;TRIM(C27))</f>
        <v>Documentos compartidos/peticiones/Escaneo 2025/083/RS_O IPP 083 OFICIO F.pdf</v>
      </c>
      <c r="G27" t="str">
        <f>TRIM(MID(replaceSt(E27,"\","\\"),1,lastSt1("\",replaceSt(E27,"\","\\")))&amp;TRIM(C27))</f>
        <v>Escaneo 2025\\083\\RS_O IPP 083 OFICIO F.pdf</v>
      </c>
      <c r="H27" t="str">
        <f>"notFoundFile.append('"&amp;TRIM(C27)&amp;"')"</f>
        <v>notFoundFile.append('RS_O IPP 083 OFICIO F.pdf')</v>
      </c>
      <c r="I27" t="str">
        <f>"notFoundWeb.append('"&amp;F27&amp;"')"</f>
        <v>notFoundWeb.append('Documentos compartidos/peticiones/Escaneo 2025/083/RS_O IPP 083 OFICIO F.pdf')</v>
      </c>
      <c r="J27" t="str">
        <f>"notFoundLocal.append('"&amp;G27&amp;"')"</f>
        <v>notFoundLocal.append('Escaneo 2025\\083\\RS_O IPP 083 OFICIO F.pdf')</v>
      </c>
    </row>
    <row r="28" spans="1:10" x14ac:dyDescent="0.25">
      <c r="A28">
        <v>226</v>
      </c>
      <c r="B28">
        <f>LEN(C28)</f>
        <v>30</v>
      </c>
      <c r="C28" t="s">
        <v>301</v>
      </c>
      <c r="D28" t="s">
        <v>302</v>
      </c>
      <c r="E28" t="s">
        <v>303</v>
      </c>
      <c r="F28" t="str">
        <f>TRIM(MID(D28,1,lastSt1("/",D28))&amp;TRIM(C28))</f>
        <v>Documentos compartidos/peticiones/Escaneo 2025/160/RS_O-IPP-160-eq-O-IPP-146.docx</v>
      </c>
      <c r="G28" t="str">
        <f>TRIM(MID(replaceSt(E28,"\","\\"),1,lastSt1("\",replaceSt(E28,"\","\\")))&amp;TRIM(C28))</f>
        <v>Escaneo 2025\\160\\RS_O-IPP-160-eq-O-IPP-146.docx</v>
      </c>
      <c r="H28" t="str">
        <f>"notFoundFile.append('"&amp;TRIM(C28)&amp;"')"</f>
        <v>notFoundFile.append('RS_O-IPP-160-eq-O-IPP-146.docx')</v>
      </c>
      <c r="I28" t="str">
        <f>"notFoundWeb.append('"&amp;F28&amp;"')"</f>
        <v>notFoundWeb.append('Documentos compartidos/peticiones/Escaneo 2025/160/RS_O-IPP-160-eq-O-IPP-146.docx')</v>
      </c>
      <c r="J28" t="str">
        <f>"notFoundLocal.append('"&amp;G28&amp;"')"</f>
        <v>notFoundLocal.append('Escaneo 2025\\160\\RS_O-IPP-160-eq-O-IPP-146.docx')</v>
      </c>
    </row>
    <row r="29" spans="1:10" x14ac:dyDescent="0.25">
      <c r="A29">
        <v>50</v>
      </c>
      <c r="B29">
        <f>LEN(C29)</f>
        <v>17</v>
      </c>
      <c r="C29" t="s">
        <v>37</v>
      </c>
      <c r="D29" t="s">
        <v>38</v>
      </c>
      <c r="E29" t="s">
        <v>39</v>
      </c>
      <c r="F29" t="str">
        <f>TRIM(MID(D29,1,lastSt1("/",D29))&amp;TRIM(C29))</f>
        <v>Documentos compartidos/peticiones/Escaneo 2025/208/RS_OIPP 208 .docx</v>
      </c>
      <c r="G29" t="str">
        <f>TRIM(MID(replaceSt(E29,"\","\\"),1,lastSt1("\",replaceSt(E29,"\","\\")))&amp;TRIM(C29))</f>
        <v>Escaneo 2025\\208\\RS_OIPP 208 .docx</v>
      </c>
      <c r="H29" t="str">
        <f>"notFoundFile.append('"&amp;TRIM(C29)&amp;"')"</f>
        <v>notFoundFile.append('RS_OIPP 208 .docx')</v>
      </c>
      <c r="I29" t="str">
        <f>"notFoundWeb.append('"&amp;F29&amp;"')"</f>
        <v>notFoundWeb.append('Documentos compartidos/peticiones/Escaneo 2025/208/RS_OIPP 208 .docx')</v>
      </c>
      <c r="J29" t="str">
        <f>"notFoundLocal.append('"&amp;G29&amp;"')"</f>
        <v>notFoundLocal.append('Escaneo 2025\\208\\RS_OIPP 208 .docx')</v>
      </c>
    </row>
    <row r="30" spans="1:10" x14ac:dyDescent="0.25">
      <c r="A30">
        <v>171</v>
      </c>
      <c r="B30">
        <f>LEN(C30)</f>
        <v>26</v>
      </c>
      <c r="C30" t="s">
        <v>304</v>
      </c>
      <c r="D30" t="s">
        <v>305</v>
      </c>
      <c r="E30" t="s">
        <v>306</v>
      </c>
      <c r="F30" t="str">
        <f>TRIM(MID(D30,1,lastSt1("/",D30))&amp;TRIM(C30))</f>
        <v>Documentos compartidos/peticiones/Escaneo 2025/208/RS_O-IPP-208-OFICIO F .pdf</v>
      </c>
      <c r="G30" t="str">
        <f>TRIM(MID(replaceSt(E30,"\","\\"),1,lastSt1("\",replaceSt(E30,"\","\\")))&amp;TRIM(C30))</f>
        <v>Escaneo 2025\\208\\RS_O-IPP-208-OFICIO F .pdf</v>
      </c>
      <c r="H30" t="str">
        <f>"notFoundFile.append('"&amp;TRIM(C30)&amp;"')"</f>
        <v>notFoundFile.append('RS_O-IPP-208-OFICIO F .pdf')</v>
      </c>
      <c r="I30" t="str">
        <f>"notFoundWeb.append('"&amp;F30&amp;"')"</f>
        <v>notFoundWeb.append('Documentos compartidos/peticiones/Escaneo 2025/208/RS_O-IPP-208-OFICIO F .pdf')</v>
      </c>
      <c r="J30" t="str">
        <f>"notFoundLocal.append('"&amp;G30&amp;"')"</f>
        <v>notFoundLocal.append('Escaneo 2025\\208\\RS_O-IPP-208-OFICIO F .pdf')</v>
      </c>
    </row>
    <row r="31" spans="1:10" x14ac:dyDescent="0.25">
      <c r="A31">
        <v>118</v>
      </c>
      <c r="B31">
        <f>LEN(C31)</f>
        <v>19</v>
      </c>
      <c r="C31" t="s">
        <v>40</v>
      </c>
      <c r="D31" t="s">
        <v>41</v>
      </c>
      <c r="E31" t="s">
        <v>42</v>
      </c>
      <c r="F31" t="str">
        <f>TRIM(MID(D31,1,lastSt1("/",D31))&amp;TRIM(C31))</f>
        <v>Documentos compartidos/peticiones/Escaneo 2025/208/EN_FOLIO 002176.pdf</v>
      </c>
      <c r="G31" t="str">
        <f>TRIM(MID(replaceSt(E31,"\","\\"),1,lastSt1("\",replaceSt(E31,"\","\\")))&amp;TRIM(C31))</f>
        <v>Escaneo 2025\\208\\EN_FOLIO 002176.pdf</v>
      </c>
      <c r="H31" t="str">
        <f>"notFoundFile.append('"&amp;TRIM(C31)&amp;"')"</f>
        <v>notFoundFile.append('EN_FOLIO 002176.pdf')</v>
      </c>
      <c r="I31" t="str">
        <f>"notFoundWeb.append('"&amp;F31&amp;"')"</f>
        <v>notFoundWeb.append('Documentos compartidos/peticiones/Escaneo 2025/208/EN_FOLIO 002176.pdf')</v>
      </c>
      <c r="J31" t="str">
        <f>"notFoundLocal.append('"&amp;G31&amp;"')"</f>
        <v>notFoundLocal.append('Escaneo 2025\\208\\EN_FOLIO 002176.pdf')</v>
      </c>
    </row>
    <row r="32" spans="1:10" x14ac:dyDescent="0.25">
      <c r="A32">
        <v>250</v>
      </c>
      <c r="B32">
        <f>LEN(C32)</f>
        <v>24</v>
      </c>
      <c r="C32" t="s">
        <v>271</v>
      </c>
      <c r="D32" t="s">
        <v>307</v>
      </c>
      <c r="E32" t="s">
        <v>308</v>
      </c>
      <c r="F32" t="str">
        <f>TRIM(MID(D32,1,lastSt1("/",D32))&amp;TRIM(C32))</f>
        <v>Documentos compartidos/peticiones/Escaneo 2025/208/IN_EjecutivoFederal.docx</v>
      </c>
      <c r="G32" t="str">
        <f>TRIM(MID(replaceSt(E32,"\","\\"),1,lastSt1("\",replaceSt(E32,"\","\\")))&amp;TRIM(C32))</f>
        <v>Escaneo 2025\\208\\IN_EjecutivoFederal.docx</v>
      </c>
      <c r="H32" t="str">
        <f>"notFoundFile.append('"&amp;TRIM(C32)&amp;"')"</f>
        <v>notFoundFile.append('IN_EjecutivoFederal.docx')</v>
      </c>
      <c r="I32" t="str">
        <f>"notFoundWeb.append('"&amp;F32&amp;"')"</f>
        <v>notFoundWeb.append('Documentos compartidos/peticiones/Escaneo 2025/208/IN_EjecutivoFederal.docx')</v>
      </c>
      <c r="J32" t="str">
        <f>"notFoundLocal.append('"&amp;G32&amp;"')"</f>
        <v>notFoundLocal.append('Escaneo 2025\\208\\IN_EjecutivoFederal.docx')</v>
      </c>
    </row>
    <row r="33" spans="1:10" x14ac:dyDescent="0.25">
      <c r="A33">
        <v>117</v>
      </c>
      <c r="B33">
        <f>LEN(C33)</f>
        <v>30</v>
      </c>
      <c r="C33" t="s">
        <v>43</v>
      </c>
      <c r="D33" t="s">
        <v>44</v>
      </c>
      <c r="E33" t="s">
        <v>45</v>
      </c>
      <c r="F33" t="str">
        <f>TRIM(MID(D33,1,lastSt1("/",D33))&amp;TRIM(C33))</f>
        <v>Documentos compartidos/peticiones/Escaneo 2025/200/RS_O IPP 200 2025 OFICIO F.pdf</v>
      </c>
      <c r="G33" t="str">
        <f>TRIM(MID(replaceSt(E33,"\","\\"),1,lastSt1("\",replaceSt(E33,"\","\\")))&amp;TRIM(C33))</f>
        <v>Escaneo 2025\\200\\RS_O IPP 200 2025 OFICIO F.pdf</v>
      </c>
      <c r="H33" t="str">
        <f>"notFoundFile.append('"&amp;TRIM(C33)&amp;"')"</f>
        <v>notFoundFile.append('RS_O IPP 200 2025 OFICIO F.pdf')</v>
      </c>
      <c r="I33" t="str">
        <f>"notFoundWeb.append('"&amp;F33&amp;"')"</f>
        <v>notFoundWeb.append('Documentos compartidos/peticiones/Escaneo 2025/200/RS_O IPP 200 2025 OFICIO F.pdf')</v>
      </c>
      <c r="J33" t="str">
        <f>"notFoundLocal.append('"&amp;G33&amp;"')"</f>
        <v>notFoundLocal.append('Escaneo 2025\\200\\RS_O IPP 200 2025 OFICIO F.pdf')</v>
      </c>
    </row>
    <row r="34" spans="1:10" x14ac:dyDescent="0.25">
      <c r="A34">
        <v>190</v>
      </c>
      <c r="B34">
        <f>LEN(C34)</f>
        <v>19</v>
      </c>
      <c r="C34" t="s">
        <v>46</v>
      </c>
      <c r="D34" t="s">
        <v>47</v>
      </c>
      <c r="E34" t="s">
        <v>48</v>
      </c>
      <c r="F34" t="str">
        <f>TRIM(MID(D34,1,lastSt1("/",D34))&amp;TRIM(C34))</f>
        <v>Documentos compartidos/peticiones/Escaneo 2025/200/RS_OIPP200 rev.docx</v>
      </c>
      <c r="G34" t="str">
        <f>TRIM(MID(replaceSt(E34,"\","\\"),1,lastSt1("\",replaceSt(E34,"\","\\")))&amp;TRIM(C34))</f>
        <v>Escaneo 2025\\200\\RS_OIPP200 rev.docx</v>
      </c>
      <c r="H34" t="str">
        <f>"notFoundFile.append('"&amp;TRIM(C34)&amp;"')"</f>
        <v>notFoundFile.append('RS_OIPP200 rev.docx')</v>
      </c>
      <c r="I34" t="str">
        <f>"notFoundWeb.append('"&amp;F34&amp;"')"</f>
        <v>notFoundWeb.append('Documentos compartidos/peticiones/Escaneo 2025/200/RS_OIPP200 rev.docx')</v>
      </c>
      <c r="J34" t="str">
        <f>"notFoundLocal.append('"&amp;G34&amp;"')"</f>
        <v>notFoundLocal.append('Escaneo 2025\\200\\RS_OIPP200 rev.docx')</v>
      </c>
    </row>
    <row r="35" spans="1:10" x14ac:dyDescent="0.25">
      <c r="A35">
        <v>98</v>
      </c>
      <c r="B35">
        <f>LEN(C35)</f>
        <v>20</v>
      </c>
      <c r="C35" t="s">
        <v>309</v>
      </c>
      <c r="D35" t="s">
        <v>310</v>
      </c>
      <c r="E35" t="s">
        <v>311</v>
      </c>
      <c r="F35" t="str">
        <f>TRIM(MID(D35,1,lastSt1("/",D35))&amp;TRIM(C35))</f>
        <v>Documentos compartidos/peticiones/Escaneo 2025/230/3/IN_LeyRespAdmvas.pdf</v>
      </c>
      <c r="G35" t="str">
        <f>TRIM(MID(replaceSt(E35,"\","\\"),1,lastSt1("\",replaceSt(E35,"\","\\")))&amp;TRIM(C35))</f>
        <v>Escaneo 2025\\230\\3\\IN_LeyRespAdmvas.pdf</v>
      </c>
      <c r="H35" t="str">
        <f>"notFoundFile.append('"&amp;TRIM(C35)&amp;"')"</f>
        <v>notFoundFile.append('IN_LeyRespAdmvas.pdf')</v>
      </c>
      <c r="I35" t="str">
        <f>"notFoundWeb.append('"&amp;F35&amp;"')"</f>
        <v>notFoundWeb.append('Documentos compartidos/peticiones/Escaneo 2025/230/3/IN_LeyRespAdmvas.pdf')</v>
      </c>
      <c r="J35" t="str">
        <f>"notFoundLocal.append('"&amp;G35&amp;"')"</f>
        <v>notFoundLocal.append('Escaneo 2025\\230\\3\\IN_LeyRespAdmvas.pdf')</v>
      </c>
    </row>
    <row r="36" spans="1:10" x14ac:dyDescent="0.25">
      <c r="A36">
        <v>76</v>
      </c>
      <c r="B36">
        <f>LEN(C36)</f>
        <v>19</v>
      </c>
      <c r="C36" t="s">
        <v>49</v>
      </c>
      <c r="D36" t="s">
        <v>50</v>
      </c>
      <c r="E36" t="s">
        <v>51</v>
      </c>
      <c r="F36" t="str">
        <f>TRIM(MID(D36,1,lastSt1("/",D36))&amp;TRIM(C36))</f>
        <v>Documentos compartidos/peticiones/Escaneo 2025/230/3/EN_FOLIO 002196.pdf</v>
      </c>
      <c r="G36" t="str">
        <f>TRIM(MID(replaceSt(E36,"\","\\"),1,lastSt1("\",replaceSt(E36,"\","\\")))&amp;TRIM(C36))</f>
        <v>Escaneo 2025\\230\\3\\EN_FOLIO 002196.pdf</v>
      </c>
      <c r="H36" t="str">
        <f>"notFoundFile.append('"&amp;TRIM(C36)&amp;"')"</f>
        <v>notFoundFile.append('EN_FOLIO 002196.pdf')</v>
      </c>
      <c r="I36" t="str">
        <f>"notFoundWeb.append('"&amp;F36&amp;"')"</f>
        <v>notFoundWeb.append('Documentos compartidos/peticiones/Escaneo 2025/230/3/EN_FOLIO 002196.pdf')</v>
      </c>
      <c r="J36" t="str">
        <f>"notFoundLocal.append('"&amp;G36&amp;"')"</f>
        <v>notFoundLocal.append('Escaneo 2025\\230\\3\\EN_FOLIO 002196.pdf')</v>
      </c>
    </row>
    <row r="37" spans="1:10" x14ac:dyDescent="0.25">
      <c r="A37">
        <v>169</v>
      </c>
      <c r="B37">
        <f>LEN(C37)</f>
        <v>17</v>
      </c>
      <c r="C37" t="s">
        <v>312</v>
      </c>
      <c r="D37" t="s">
        <v>313</v>
      </c>
      <c r="E37" t="s">
        <v>314</v>
      </c>
      <c r="F37" t="str">
        <f>TRIM(MID(D37,1,lastSt1("/",D37))&amp;TRIM(C37))</f>
        <v>Documentos compartidos/peticiones/Escaneo 2025/230/4/IN_LeyAccInfo.pdf</v>
      </c>
      <c r="G37" t="str">
        <f>TRIM(MID(replaceSt(E37,"\","\\"),1,lastSt1("\",replaceSt(E37,"\","\\")))&amp;TRIM(C37))</f>
        <v>Escaneo 2025\\230\\4\\IN_LeyAccInfo.pdf</v>
      </c>
      <c r="H37" t="str">
        <f>"notFoundFile.append('"&amp;TRIM(C37)&amp;"')"</f>
        <v>notFoundFile.append('IN_LeyAccInfo.pdf')</v>
      </c>
      <c r="I37" t="str">
        <f>"notFoundWeb.append('"&amp;F37&amp;"')"</f>
        <v>notFoundWeb.append('Documentos compartidos/peticiones/Escaneo 2025/230/4/IN_LeyAccInfo.pdf')</v>
      </c>
      <c r="J37" t="str">
        <f>"notFoundLocal.append('"&amp;G37&amp;"')"</f>
        <v>notFoundLocal.append('Escaneo 2025\\230\\4\\IN_LeyAccInfo.pdf')</v>
      </c>
    </row>
    <row r="38" spans="1:10" x14ac:dyDescent="0.25">
      <c r="A38">
        <v>39</v>
      </c>
      <c r="B38">
        <f>LEN(C38)</f>
        <v>19</v>
      </c>
      <c r="C38" t="s">
        <v>49</v>
      </c>
      <c r="D38" t="s">
        <v>52</v>
      </c>
      <c r="E38" t="s">
        <v>53</v>
      </c>
      <c r="F38" t="str">
        <f>TRIM(MID(D38,1,lastSt1("/",D38))&amp;TRIM(C38))</f>
        <v>Documentos compartidos/peticiones/Escaneo 2025/230/4/EN_FOLIO 002196.pdf</v>
      </c>
      <c r="G38" t="str">
        <f>TRIM(MID(replaceSt(E38,"\","\\"),1,lastSt1("\",replaceSt(E38,"\","\\")))&amp;TRIM(C38))</f>
        <v>Escaneo 2025\\230\\4\\EN_FOLIO 002196.pdf</v>
      </c>
      <c r="H38" t="str">
        <f>"notFoundFile.append('"&amp;TRIM(C38)&amp;"')"</f>
        <v>notFoundFile.append('EN_FOLIO 002196.pdf')</v>
      </c>
      <c r="I38" t="str">
        <f>"notFoundWeb.append('"&amp;F38&amp;"')"</f>
        <v>notFoundWeb.append('Documentos compartidos/peticiones/Escaneo 2025/230/4/EN_FOLIO 002196.pdf')</v>
      </c>
      <c r="J38" t="str">
        <f>"notFoundLocal.append('"&amp;G38&amp;"')"</f>
        <v>notFoundLocal.append('Escaneo 2025\\230\\4\\EN_FOLIO 002196.pdf')</v>
      </c>
    </row>
    <row r="39" spans="1:10" x14ac:dyDescent="0.25">
      <c r="A39">
        <v>129</v>
      </c>
      <c r="B39">
        <f>LEN(C39)</f>
        <v>19</v>
      </c>
      <c r="C39" t="s">
        <v>49</v>
      </c>
      <c r="D39" t="s">
        <v>54</v>
      </c>
      <c r="E39" t="s">
        <v>55</v>
      </c>
      <c r="F39" t="str">
        <f>TRIM(MID(D39,1,lastSt1("/",D39))&amp;TRIM(C39))</f>
        <v>Documentos compartidos/peticiones/Escaneo 2025/230/1/EN_FOLIO 002196.pdf</v>
      </c>
      <c r="G39" t="str">
        <f>TRIM(MID(replaceSt(E39,"\","\\"),1,lastSt1("\",replaceSt(E39,"\","\\")))&amp;TRIM(C39))</f>
        <v>Escaneo 2025\\230\\1\\EN_FOLIO 002196.pdf</v>
      </c>
      <c r="H39" t="str">
        <f>"notFoundFile.append('"&amp;TRIM(C39)&amp;"')"</f>
        <v>notFoundFile.append('EN_FOLIO 002196.pdf')</v>
      </c>
      <c r="I39" t="str">
        <f>"notFoundWeb.append('"&amp;F39&amp;"')"</f>
        <v>notFoundWeb.append('Documentos compartidos/peticiones/Escaneo 2025/230/1/EN_FOLIO 002196.pdf')</v>
      </c>
      <c r="J39" t="str">
        <f>"notFoundLocal.append('"&amp;G39&amp;"')"</f>
        <v>notFoundLocal.append('Escaneo 2025\\230\\1\\EN_FOLIO 002196.pdf')</v>
      </c>
    </row>
    <row r="40" spans="1:10" x14ac:dyDescent="0.25">
      <c r="A40">
        <v>248</v>
      </c>
      <c r="B40">
        <f>LEN(C40)</f>
        <v>19</v>
      </c>
      <c r="C40" t="s">
        <v>315</v>
      </c>
      <c r="D40" t="s">
        <v>316</v>
      </c>
      <c r="E40" t="s">
        <v>317</v>
      </c>
      <c r="F40" t="str">
        <f>TRIM(MID(D40,1,lastSt1("/",D40))&amp;TRIM(C40))</f>
        <v>Documentos compartidos/peticiones/Escaneo 2025/230/1/IN_LeyRespAdmon.pdf</v>
      </c>
      <c r="G40" t="str">
        <f>TRIM(MID(replaceSt(E40,"\","\\"),1,lastSt1("\",replaceSt(E40,"\","\\")))&amp;TRIM(C40))</f>
        <v>Escaneo 2025\\230\\1\\IN_LeyRespAdmon.pdf</v>
      </c>
      <c r="H40" t="str">
        <f>"notFoundFile.append('"&amp;TRIM(C40)&amp;"')"</f>
        <v>notFoundFile.append('IN_LeyRespAdmon.pdf')</v>
      </c>
      <c r="I40" t="str">
        <f>"notFoundWeb.append('"&amp;F40&amp;"')"</f>
        <v>notFoundWeb.append('Documentos compartidos/peticiones/Escaneo 2025/230/1/IN_LeyRespAdmon.pdf')</v>
      </c>
      <c r="J40" t="str">
        <f>"notFoundLocal.append('"&amp;G40&amp;"')"</f>
        <v>notFoundLocal.append('Escaneo 2025\\230\\1\\IN_LeyRespAdmon.pdf')</v>
      </c>
    </row>
    <row r="41" spans="1:10" x14ac:dyDescent="0.25">
      <c r="A41">
        <v>263</v>
      </c>
      <c r="B41">
        <f>LEN(C41)</f>
        <v>28</v>
      </c>
      <c r="C41" t="s">
        <v>318</v>
      </c>
      <c r="D41" t="s">
        <v>319</v>
      </c>
      <c r="E41" t="s">
        <v>320</v>
      </c>
      <c r="F41" t="str">
        <f>TRIM(MID(D41,1,lastSt1("/",D41))&amp;TRIM(C41))</f>
        <v>Documentos compartidos/peticiones/Escaneo 2025/230/2/IN_LeyContenc-Art-A56y57.pdf</v>
      </c>
      <c r="G41" t="str">
        <f>TRIM(MID(replaceSt(E41,"\","\\"),1,lastSt1("\",replaceSt(E41,"\","\\")))&amp;TRIM(C41))</f>
        <v>Escaneo 2025\\230\\2\\IN_LeyContenc-Art-A56y57.pdf</v>
      </c>
      <c r="H41" t="str">
        <f>"notFoundFile.append('"&amp;TRIM(C41)&amp;"')"</f>
        <v>notFoundFile.append('IN_LeyContenc-Art-A56y57.pdf')</v>
      </c>
      <c r="I41" t="str">
        <f>"notFoundWeb.append('"&amp;F41&amp;"')"</f>
        <v>notFoundWeb.append('Documentos compartidos/peticiones/Escaneo 2025/230/2/IN_LeyContenc-Art-A56y57.pdf')</v>
      </c>
      <c r="J41" t="str">
        <f>"notFoundLocal.append('"&amp;G41&amp;"')"</f>
        <v>notFoundLocal.append('Escaneo 2025\\230\\2\\IN_LeyContenc-Art-A56y57.pdf')</v>
      </c>
    </row>
    <row r="42" spans="1:10" x14ac:dyDescent="0.25">
      <c r="A42">
        <v>3</v>
      </c>
      <c r="B42">
        <f>LEN(C42)</f>
        <v>19</v>
      </c>
      <c r="C42" t="s">
        <v>49</v>
      </c>
      <c r="D42" t="s">
        <v>56</v>
      </c>
      <c r="E42" t="s">
        <v>57</v>
      </c>
      <c r="F42" t="str">
        <f>TRIM(MID(D42,1,lastSt1("/",D42))&amp;TRIM(C42))</f>
        <v>Documentos compartidos/peticiones/Escaneo 2025/230/2/EN_FOLIO 002196.pdf</v>
      </c>
      <c r="G42" t="str">
        <f>TRIM(MID(replaceSt(E42,"\","\\"),1,lastSt1("\",replaceSt(E42,"\","\\")))&amp;TRIM(C42))</f>
        <v>Escaneo 2025\\230\\2\\EN_FOLIO 002196.pdf</v>
      </c>
      <c r="H42" t="str">
        <f>"notFoundFile.append('"&amp;TRIM(C42)&amp;"')"</f>
        <v>notFoundFile.append('EN_FOLIO 002196.pdf')</v>
      </c>
      <c r="I42" t="str">
        <f>"notFoundWeb.append('"&amp;F42&amp;"')"</f>
        <v>notFoundWeb.append('Documentos compartidos/peticiones/Escaneo 2025/230/2/EN_FOLIO 002196.pdf')</v>
      </c>
      <c r="J42" t="str">
        <f>"notFoundLocal.append('"&amp;G42&amp;"')"</f>
        <v>notFoundLocal.append('Escaneo 2025\\230\\2\\EN_FOLIO 002196.pdf')</v>
      </c>
    </row>
    <row r="43" spans="1:10" x14ac:dyDescent="0.25">
      <c r="A43">
        <v>183</v>
      </c>
      <c r="B43">
        <f>LEN(C43)</f>
        <v>19</v>
      </c>
      <c r="C43" t="s">
        <v>58</v>
      </c>
      <c r="D43" t="s">
        <v>59</v>
      </c>
      <c r="E43" t="s">
        <v>60</v>
      </c>
      <c r="F43" t="str">
        <f>TRIM(MID(D43,1,lastSt1("/",D43))&amp;TRIM(C43))</f>
        <v>Documentos compartidos/peticiones/Escaneo 2025/227/EN_FOLIO 002192.pdf</v>
      </c>
      <c r="G43" t="str">
        <f>TRIM(MID(replaceSt(E43,"\","\\"),1,lastSt1("\",replaceSt(E43,"\","\\")))&amp;TRIM(C43))</f>
        <v>Escaneo 2025\\227\\EN_FOLIO 002192.pdf</v>
      </c>
      <c r="H43" t="str">
        <f>"notFoundFile.append('"&amp;TRIM(C43)&amp;"')"</f>
        <v>notFoundFile.append('EN_FOLIO 002192.pdf')</v>
      </c>
      <c r="I43" t="str">
        <f>"notFoundWeb.append('"&amp;F43&amp;"')"</f>
        <v>notFoundWeb.append('Documentos compartidos/peticiones/Escaneo 2025/227/EN_FOLIO 002192.pdf')</v>
      </c>
      <c r="J43" t="str">
        <f>"notFoundLocal.append('"&amp;G43&amp;"')"</f>
        <v>notFoundLocal.append('Escaneo 2025\\227\\EN_FOLIO 002192.pdf')</v>
      </c>
    </row>
    <row r="44" spans="1:10" x14ac:dyDescent="0.25">
      <c r="A44">
        <v>197</v>
      </c>
      <c r="B44">
        <f>LEN(C44)</f>
        <v>29</v>
      </c>
      <c r="C44" t="s">
        <v>321</v>
      </c>
      <c r="D44" t="s">
        <v>322</v>
      </c>
      <c r="E44" t="s">
        <v>323</v>
      </c>
      <c r="F44" t="str">
        <f>TRIM(MID(D44,1,lastSt1("/",D44))&amp;TRIM(C44))</f>
        <v>Documentos compartidos/peticiones/Escaneo 2025/227/IN_LeyMigraTitulo-V-Art99.pdf</v>
      </c>
      <c r="G44" t="str">
        <f>TRIM(MID(replaceSt(E44,"\","\\"),1,lastSt1("\",replaceSt(E44,"\","\\")))&amp;TRIM(C44))</f>
        <v>Escaneo 2025\\227\\IN_LeyMigraTitulo-V-Art99.pdf</v>
      </c>
      <c r="H44" t="str">
        <f>"notFoundFile.append('"&amp;TRIM(C44)&amp;"')"</f>
        <v>notFoundFile.append('IN_LeyMigraTitulo-V-Art99.pdf')</v>
      </c>
      <c r="I44" t="str">
        <f>"notFoundWeb.append('"&amp;F44&amp;"')"</f>
        <v>notFoundWeb.append('Documentos compartidos/peticiones/Escaneo 2025/227/IN_LeyMigraTitulo-V-Art99.pdf')</v>
      </c>
      <c r="J44" t="str">
        <f>"notFoundLocal.append('"&amp;G44&amp;"')"</f>
        <v>notFoundLocal.append('Escaneo 2025\\227\\IN_LeyMigraTitulo-V-Art99.pdf')</v>
      </c>
    </row>
    <row r="45" spans="1:10" x14ac:dyDescent="0.25">
      <c r="A45">
        <v>53</v>
      </c>
      <c r="B45">
        <f>LEN(C45)</f>
        <v>19</v>
      </c>
      <c r="C45" t="s">
        <v>61</v>
      </c>
      <c r="D45" t="s">
        <v>62</v>
      </c>
      <c r="E45" t="s">
        <v>63</v>
      </c>
      <c r="F45" t="str">
        <f>TRIM(MID(D45,1,lastSt1("/",D45))&amp;TRIM(C45))</f>
        <v>Documentos compartidos/peticiones/Escaneo 2025/213/EN_FOLIO 002181.pdf</v>
      </c>
      <c r="G45" t="str">
        <f>TRIM(MID(replaceSt(E45,"\","\\"),1,lastSt1("\",replaceSt(E45,"\","\\")))&amp;TRIM(C45))</f>
        <v>Escaneo 2025\\213\\EN_FOLIO 002181.pdf</v>
      </c>
      <c r="H45" t="str">
        <f>"notFoundFile.append('"&amp;TRIM(C45)&amp;"')"</f>
        <v>notFoundFile.append('EN_FOLIO 002181.pdf')</v>
      </c>
      <c r="I45" t="str">
        <f>"notFoundWeb.append('"&amp;F45&amp;"')"</f>
        <v>notFoundWeb.append('Documentos compartidos/peticiones/Escaneo 2025/213/EN_FOLIO 002181.pdf')</v>
      </c>
      <c r="J45" t="str">
        <f>"notFoundLocal.append('"&amp;G45&amp;"')"</f>
        <v>notFoundLocal.append('Escaneo 2025\\213\\EN_FOLIO 002181.pdf')</v>
      </c>
    </row>
    <row r="46" spans="1:10" x14ac:dyDescent="0.25">
      <c r="A46">
        <v>247</v>
      </c>
      <c r="B46">
        <f>LEN(C46)</f>
        <v>23</v>
      </c>
      <c r="C46" t="s">
        <v>324</v>
      </c>
      <c r="D46" t="s">
        <v>325</v>
      </c>
      <c r="E46" t="s">
        <v>326</v>
      </c>
      <c r="F46" t="str">
        <f>TRIM(MID(D46,1,lastSt1("/",D46))&amp;TRIM(C46))</f>
        <v>Documentos compartidos/peticiones/Escaneo 2025/213/IN_LeyDerNiñasyAdol.pdf</v>
      </c>
      <c r="G46" t="str">
        <f>TRIM(MID(replaceSt(E46,"\","\\"),1,lastSt1("\",replaceSt(E46,"\","\\")))&amp;TRIM(C46))</f>
        <v>Escaneo 2025\\213\\IN_LeyDerNiñasyAdol.pdf</v>
      </c>
      <c r="H46" t="str">
        <f>"notFoundFile.append('"&amp;TRIM(C46)&amp;"')"</f>
        <v>notFoundFile.append('IN_LeyDerNiñasyAdol.pdf')</v>
      </c>
      <c r="I46" t="str">
        <f>"notFoundWeb.append('"&amp;F46&amp;"')"</f>
        <v>notFoundWeb.append('Documentos compartidos/peticiones/Escaneo 2025/213/IN_LeyDerNiñasyAdol.pdf')</v>
      </c>
      <c r="J46" t="str">
        <f>"notFoundLocal.append('"&amp;G46&amp;"')"</f>
        <v>notFoundLocal.append('Escaneo 2025\\213\\IN_LeyDerNiñasyAdol.pdf')</v>
      </c>
    </row>
    <row r="47" spans="1:10" x14ac:dyDescent="0.25">
      <c r="A47">
        <v>31</v>
      </c>
      <c r="B47">
        <f>LEN(C47)</f>
        <v>25</v>
      </c>
      <c r="C47" t="s">
        <v>641</v>
      </c>
      <c r="D47" t="s">
        <v>642</v>
      </c>
      <c r="E47" t="s">
        <v>643</v>
      </c>
      <c r="F47" t="str">
        <f>TRIM(MID(D47,1,lastSt1("/",D47))&amp;TRIM(C47))</f>
        <v>Documentos compartidos/peticiones/Escaneo 2025/202/RS_O-IPP-202-OFICIO F.pdf</v>
      </c>
      <c r="G47" t="str">
        <f>TRIM(MID(replaceSt(E47,"\","\\"),1,lastSt1("\",replaceSt(E47,"\","\\")))&amp;TRIM(C47))</f>
        <v>Escaneo 2025\\202\\RS_O-IPP-202-OFICIO F.pdf</v>
      </c>
      <c r="H47" t="str">
        <f>"notFoundFile.append('"&amp;TRIM(C47)&amp;"')"</f>
        <v>notFoundFile.append('RS_O-IPP-202-OFICIO F.pdf')</v>
      </c>
      <c r="I47" t="str">
        <f>"notFoundWeb.append('"&amp;F47&amp;"')"</f>
        <v>notFoundWeb.append('Documentos compartidos/peticiones/Escaneo 2025/202/RS_O-IPP-202-OFICIO F.pdf')</v>
      </c>
      <c r="J47" t="str">
        <f>"notFoundLocal.append('"&amp;G47&amp;"')"</f>
        <v>notFoundLocal.append('Escaneo 2025\\202\\RS_O-IPP-202-OFICIO F.pdf')</v>
      </c>
    </row>
    <row r="48" spans="1:10" x14ac:dyDescent="0.25">
      <c r="A48">
        <v>95</v>
      </c>
      <c r="B48">
        <f>LEN(C48)</f>
        <v>20</v>
      </c>
      <c r="C48" t="s">
        <v>327</v>
      </c>
      <c r="D48" t="s">
        <v>328</v>
      </c>
      <c r="E48" t="s">
        <v>329</v>
      </c>
      <c r="F48" t="str">
        <f>TRIM(MID(D48,1,lastSt1("/",D48))&amp;TRIM(C48))</f>
        <v>Documentos compartidos/peticiones/Escaneo 2025/137/VL_RS-IFO-137-MA.pdf</v>
      </c>
      <c r="G48" t="str">
        <f>TRIM(MID(replaceSt(E48,"\","\\"),1,lastSt1("\",replaceSt(E48,"\","\\")))&amp;TRIM(C48))</f>
        <v>Escaneo 2025\\137\\VL_RS-IFO-137-MA.pdf</v>
      </c>
      <c r="H48" t="str">
        <f>"notFoundFile.append('"&amp;TRIM(C48)&amp;"')"</f>
        <v>notFoundFile.append('VL_RS-IFO-137-MA.pdf')</v>
      </c>
      <c r="I48" t="str">
        <f>"notFoundWeb.append('"&amp;F48&amp;"')"</f>
        <v>notFoundWeb.append('Documentos compartidos/peticiones/Escaneo 2025/137/VL_RS-IFO-137-MA.pdf')</v>
      </c>
      <c r="J48" t="str">
        <f>"notFoundLocal.append('"&amp;G48&amp;"')"</f>
        <v>notFoundLocal.append('Escaneo 2025\\137\\VL_RS-IFO-137-MA.pdf')</v>
      </c>
    </row>
    <row r="49" spans="1:10" x14ac:dyDescent="0.25">
      <c r="A49">
        <v>28</v>
      </c>
      <c r="B49">
        <f>LEN(C49)</f>
        <v>25</v>
      </c>
      <c r="C49" t="s">
        <v>330</v>
      </c>
      <c r="D49" t="s">
        <v>331</v>
      </c>
      <c r="E49" t="s">
        <v>332</v>
      </c>
      <c r="F49" t="str">
        <f>TRIM(MID(D49,1,lastSt1("/",D49))&amp;TRIM(C49))</f>
        <v>Documentos compartidos/peticiones/Escaneo 2025/137/RS_O-IFO-137-OFICIO F.pdf</v>
      </c>
      <c r="G49" t="str">
        <f>TRIM(MID(replaceSt(E49,"\","\\"),1,lastSt1("\",replaceSt(E49,"\","\\")))&amp;TRIM(C49))</f>
        <v>Escaneo 2025\\137\\RS_O-IFO-137-OFICIO F.pdf</v>
      </c>
      <c r="H49" t="str">
        <f>"notFoundFile.append('"&amp;TRIM(C49)&amp;"')"</f>
        <v>notFoundFile.append('RS_O-IFO-137-OFICIO F.pdf')</v>
      </c>
      <c r="I49" t="str">
        <f>"notFoundWeb.append('"&amp;F49&amp;"')"</f>
        <v>notFoundWeb.append('Documentos compartidos/peticiones/Escaneo 2025/137/RS_O-IFO-137-OFICIO F.pdf')</v>
      </c>
      <c r="J49" t="str">
        <f>"notFoundLocal.append('"&amp;G49&amp;"')"</f>
        <v>notFoundLocal.append('Escaneo 2025\\137\\RS_O-IFO-137-OFICIO F.pdf')</v>
      </c>
    </row>
    <row r="50" spans="1:10" x14ac:dyDescent="0.25">
      <c r="A50">
        <v>131</v>
      </c>
      <c r="B50">
        <f>LEN(C50)</f>
        <v>32</v>
      </c>
      <c r="C50" t="s">
        <v>333</v>
      </c>
      <c r="D50" t="s">
        <v>334</v>
      </c>
      <c r="E50" t="s">
        <v>335</v>
      </c>
      <c r="F50" t="str">
        <f>TRIM(MID(D50,1,lastSt1("/",D50))&amp;TRIM(C50))</f>
        <v>Documentos compartidos/peticiones/Escaneo 2025/221/RS_IFO-221ComNalBúsqPers-VR.docx</v>
      </c>
      <c r="G50" t="str">
        <f>TRIM(MID(replaceSt(E50,"\","\\"),1,lastSt1("\",replaceSt(E50,"\","\\")))&amp;TRIM(C50))</f>
        <v>Escaneo 2025\\221\\RS_IFO-221ComNalBúsqPers-VR.docx</v>
      </c>
      <c r="H50" t="str">
        <f>"notFoundFile.append('"&amp;TRIM(C50)&amp;"')"</f>
        <v>notFoundFile.append('RS_IFO-221ComNalBúsqPers-VR.docx')</v>
      </c>
      <c r="I50" t="str">
        <f>"notFoundWeb.append('"&amp;F50&amp;"')"</f>
        <v>notFoundWeb.append('Documentos compartidos/peticiones/Escaneo 2025/221/RS_IFO-221ComNalBúsqPers-VR.docx')</v>
      </c>
      <c r="J50" t="str">
        <f>"notFoundLocal.append('"&amp;G50&amp;"')"</f>
        <v>notFoundLocal.append('Escaneo 2025\\221\\RS_IFO-221ComNalBúsqPers-VR.docx')</v>
      </c>
    </row>
    <row r="51" spans="1:10" x14ac:dyDescent="0.25">
      <c r="A51">
        <v>70</v>
      </c>
      <c r="B51">
        <f>LEN(C51)</f>
        <v>27</v>
      </c>
      <c r="C51" t="s">
        <v>336</v>
      </c>
      <c r="D51" t="s">
        <v>337</v>
      </c>
      <c r="E51" t="s">
        <v>338</v>
      </c>
      <c r="F51" t="str">
        <f>TRIM(MID(D51,1,lastSt1("/",D51))&amp;TRIM(C51))</f>
        <v>Documentos compartidos/peticiones/Escaneo 2025/221/EN_Of-DipMoreira.144.25.pdf</v>
      </c>
      <c r="G51" t="str">
        <f>TRIM(MID(replaceSt(E51,"\","\\"),1,lastSt1("\",replaceSt(E51,"\","\\")))&amp;TRIM(C51))</f>
        <v>Escaneo 2025\\221\\EN_Of-DipMoreira.144.25.pdf</v>
      </c>
      <c r="H51" t="str">
        <f>"notFoundFile.append('"&amp;TRIM(C51)&amp;"')"</f>
        <v>notFoundFile.append('EN_Of-DipMoreira.144.25.pdf')</v>
      </c>
      <c r="I51" t="str">
        <f>"notFoundWeb.append('"&amp;F51&amp;"')"</f>
        <v>notFoundWeb.append('Documentos compartidos/peticiones/Escaneo 2025/221/EN_Of-DipMoreira.144.25.pdf')</v>
      </c>
      <c r="J51" t="str">
        <f>"notFoundLocal.append('"&amp;G51&amp;"')"</f>
        <v>notFoundLocal.append('Escaneo 2025\\221\\EN_Of-DipMoreira.144.25.pdf')</v>
      </c>
    </row>
    <row r="52" spans="1:10" x14ac:dyDescent="0.25">
      <c r="A52">
        <v>264</v>
      </c>
      <c r="B52">
        <f>LEN(C52)</f>
        <v>25</v>
      </c>
      <c r="C52" t="s">
        <v>339</v>
      </c>
      <c r="D52" t="s">
        <v>340</v>
      </c>
      <c r="E52" t="s">
        <v>341</v>
      </c>
      <c r="F52" t="str">
        <f>TRIM(MID(D52,1,lastSt1("/",D52))&amp;TRIM(C52))</f>
        <v>Documentos compartidos/peticiones/Escaneo 2025/221/RS_O-IFO-221-OFICIO F.pdf</v>
      </c>
      <c r="G52" t="str">
        <f>TRIM(MID(replaceSt(E52,"\","\\"),1,lastSt1("\",replaceSt(E52,"\","\\")))&amp;TRIM(C52))</f>
        <v>Escaneo 2025\\221\\RS_O-IFO-221-OFICIO F.pdf</v>
      </c>
      <c r="H52" t="str">
        <f>"notFoundFile.append('"&amp;TRIM(C52)&amp;"')"</f>
        <v>notFoundFile.append('RS_O-IFO-221-OFICIO F.pdf')</v>
      </c>
      <c r="I52" t="str">
        <f>"notFoundWeb.append('"&amp;F52&amp;"')"</f>
        <v>notFoundWeb.append('Documentos compartidos/peticiones/Escaneo 2025/221/RS_O-IFO-221-OFICIO F.pdf')</v>
      </c>
      <c r="J52" t="str">
        <f>"notFoundLocal.append('"&amp;G52&amp;"')"</f>
        <v>notFoundLocal.append('Escaneo 2025\\221\\RS_O-IFO-221-OFICIO F.pdf')</v>
      </c>
    </row>
    <row r="53" spans="1:10" x14ac:dyDescent="0.25">
      <c r="A53">
        <v>251</v>
      </c>
      <c r="B53">
        <f>LEN(C53)</f>
        <v>22</v>
      </c>
      <c r="C53" t="s">
        <v>342</v>
      </c>
      <c r="D53" t="s">
        <v>343</v>
      </c>
      <c r="E53" t="s">
        <v>344</v>
      </c>
      <c r="F53" t="str">
        <f>TRIM(MID(D53,1,lastSt1("/",D53))&amp;TRIM(C53))</f>
        <v>Documentos compartidos/peticiones/Escaneo 2025/221/VL_RS-IFO-221-2025.pdf</v>
      </c>
      <c r="G53" t="str">
        <f>TRIM(MID(replaceSt(E53,"\","\\"),1,lastSt1("\",replaceSt(E53,"\","\\")))&amp;TRIM(C53))</f>
        <v>Escaneo 2025\\221\\VL_RS-IFO-221-2025.pdf</v>
      </c>
      <c r="H53" t="str">
        <f>"notFoundFile.append('"&amp;TRIM(C53)&amp;"')"</f>
        <v>notFoundFile.append('VL_RS-IFO-221-2025.pdf')</v>
      </c>
      <c r="I53" t="str">
        <f>"notFoundWeb.append('"&amp;F53&amp;"')"</f>
        <v>notFoundWeb.append('Documentos compartidos/peticiones/Escaneo 2025/221/VL_RS-IFO-221-2025.pdf')</v>
      </c>
      <c r="J53" t="str">
        <f>"notFoundLocal.append('"&amp;G53&amp;"')"</f>
        <v>notFoundLocal.append('Escaneo 2025\\221\\VL_RS-IFO-221-2025.pdf')</v>
      </c>
    </row>
    <row r="54" spans="1:10" x14ac:dyDescent="0.25">
      <c r="A54">
        <v>75</v>
      </c>
      <c r="B54">
        <f>LEN(C54)</f>
        <v>32</v>
      </c>
      <c r="C54" t="s">
        <v>345</v>
      </c>
      <c r="D54" t="s">
        <v>346</v>
      </c>
      <c r="E54" t="s">
        <v>347</v>
      </c>
      <c r="F54" t="str">
        <f>TRIM(MID(D54,1,lastSt1("/",D54))&amp;TRIM(C54))</f>
        <v>Documentos compartidos/peticiones/Escaneo 2025/243/IN_CódPen-AbandAnim-Art-419T.pdf</v>
      </c>
      <c r="G54" t="str">
        <f>TRIM(MID(replaceSt(E54,"\","\\"),1,lastSt1("\",replaceSt(E54,"\","\\")))&amp;TRIM(C54))</f>
        <v>Escaneo 2025\\243\\IN_CódPen-AbandAnim-Art-419T.pdf</v>
      </c>
      <c r="H54" t="str">
        <f>"notFoundFile.append('"&amp;TRIM(C54)&amp;"')"</f>
        <v>notFoundFile.append('IN_CódPen-AbandAnim-Art-419T.pdf')</v>
      </c>
      <c r="I54" t="str">
        <f>"notFoundWeb.append('"&amp;F54&amp;"')"</f>
        <v>notFoundWeb.append('Documentos compartidos/peticiones/Escaneo 2025/243/IN_CódPen-AbandAnim-Art-419T.pdf')</v>
      </c>
      <c r="J54" t="str">
        <f>"notFoundLocal.append('"&amp;G54&amp;"')"</f>
        <v>notFoundLocal.append('Escaneo 2025\\243\\IN_CódPen-AbandAnim-Art-419T.pdf')</v>
      </c>
    </row>
    <row r="55" spans="1:10" x14ac:dyDescent="0.25">
      <c r="A55">
        <v>27</v>
      </c>
      <c r="B55">
        <f>LEN(C55)</f>
        <v>19</v>
      </c>
      <c r="C55" t="s">
        <v>64</v>
      </c>
      <c r="D55" t="s">
        <v>65</v>
      </c>
      <c r="E55" t="s">
        <v>66</v>
      </c>
      <c r="F55" t="str">
        <f>TRIM(MID(D55,1,lastSt1("/",D55))&amp;TRIM(C55))</f>
        <v>Documentos compartidos/peticiones/Escaneo 2025/243/EN_FOLIO 002207.pdf</v>
      </c>
      <c r="G55" t="str">
        <f>TRIM(MID(replaceSt(E55,"\","\\"),1,lastSt1("\",replaceSt(E55,"\","\\")))&amp;TRIM(C55))</f>
        <v>Escaneo 2025\\243\\EN_FOLIO 002207.pdf</v>
      </c>
      <c r="H55" t="str">
        <f>"notFoundFile.append('"&amp;TRIM(C55)&amp;"')"</f>
        <v>notFoundFile.append('EN_FOLIO 002207.pdf')</v>
      </c>
      <c r="I55" t="str">
        <f>"notFoundWeb.append('"&amp;F55&amp;"')"</f>
        <v>notFoundWeb.append('Documentos compartidos/peticiones/Escaneo 2025/243/EN_FOLIO 002207.pdf')</v>
      </c>
      <c r="J55" t="str">
        <f>"notFoundLocal.append('"&amp;G55&amp;"')"</f>
        <v>notFoundLocal.append('Escaneo 2025\\243\\EN_FOLIO 002207.pdf')</v>
      </c>
    </row>
    <row r="56" spans="1:10" x14ac:dyDescent="0.25">
      <c r="A56">
        <v>239</v>
      </c>
      <c r="B56">
        <f>LEN(C56)</f>
        <v>25</v>
      </c>
      <c r="C56" t="s">
        <v>348</v>
      </c>
      <c r="D56" t="s">
        <v>349</v>
      </c>
      <c r="E56" t="s">
        <v>350</v>
      </c>
      <c r="F56" t="str">
        <f>TRIM(MID(D56,1,lastSt1("/",D56))&amp;TRIM(C56))</f>
        <v>Documentos compartidos/peticiones/Escaneo 2025/085/RS_O-IPP-085-OFICIO F.pdf</v>
      </c>
      <c r="G56" t="str">
        <f>TRIM(MID(replaceSt(E56,"\","\\"),1,lastSt1("\",replaceSt(E56,"\","\\")))&amp;TRIM(C56))</f>
        <v>Escaneo 2025\\085\\RS_O-IPP-085-OFICIO F.pdf</v>
      </c>
      <c r="H56" t="str">
        <f>"notFoundFile.append('"&amp;TRIM(C56)&amp;"')"</f>
        <v>notFoundFile.append('RS_O-IPP-085-OFICIO F.pdf')</v>
      </c>
      <c r="I56" t="str">
        <f>"notFoundWeb.append('"&amp;F56&amp;"')"</f>
        <v>notFoundWeb.append('Documentos compartidos/peticiones/Escaneo 2025/085/RS_O-IPP-085-OFICIO F.pdf')</v>
      </c>
      <c r="J56" t="str">
        <f>"notFoundLocal.append('"&amp;G56&amp;"')"</f>
        <v>notFoundLocal.append('Escaneo 2025\\085\\RS_O-IPP-085-OFICIO F.pdf')</v>
      </c>
    </row>
    <row r="57" spans="1:10" x14ac:dyDescent="0.25">
      <c r="A57">
        <v>201</v>
      </c>
      <c r="B57">
        <f>LEN(C57)</f>
        <v>27</v>
      </c>
      <c r="C57" t="s">
        <v>351</v>
      </c>
      <c r="D57" t="s">
        <v>352</v>
      </c>
      <c r="E57" t="s">
        <v>353</v>
      </c>
      <c r="F57" t="str">
        <f>TRIM(MID(D57,1,lastSt1("/",D57))&amp;TRIM(C57))</f>
        <v>Documentos compartidos/peticiones/Escaneo 2025/115/2/RS_O-IPP-115.2-OFICIO F.pdf</v>
      </c>
      <c r="G57" t="str">
        <f>TRIM(MID(replaceSt(E57,"\","\\"),1,lastSt1("\",replaceSt(E57,"\","\\")))&amp;TRIM(C57))</f>
        <v>Escaneo 2025\\115\\2\\RS_O-IPP-115.2-OFICIO F.pdf</v>
      </c>
      <c r="H57" t="str">
        <f>"notFoundFile.append('"&amp;TRIM(C57)&amp;"')"</f>
        <v>notFoundFile.append('RS_O-IPP-115.2-OFICIO F.pdf')</v>
      </c>
      <c r="I57" t="str">
        <f>"notFoundWeb.append('"&amp;F57&amp;"')"</f>
        <v>notFoundWeb.append('Documentos compartidos/peticiones/Escaneo 2025/115/2/RS_O-IPP-115.2-OFICIO F.pdf')</v>
      </c>
      <c r="J57" t="str">
        <f>"notFoundLocal.append('"&amp;G57&amp;"')"</f>
        <v>notFoundLocal.append('Escaneo 2025\\115\\2\\RS_O-IPP-115.2-OFICIO F.pdf')</v>
      </c>
    </row>
    <row r="58" spans="1:10" x14ac:dyDescent="0.25">
      <c r="A58">
        <v>195</v>
      </c>
      <c r="B58">
        <f>LEN(C58)</f>
        <v>27</v>
      </c>
      <c r="C58" t="s">
        <v>354</v>
      </c>
      <c r="D58" t="s">
        <v>355</v>
      </c>
      <c r="E58" t="s">
        <v>356</v>
      </c>
      <c r="F58" t="str">
        <f>TRIM(MID(D58,1,lastSt1("/",D58))&amp;TRIM(C58))</f>
        <v>Documentos compartidos/peticiones/Escaneo 2025/250/IN_LeyOrgArmada-Art2y20.pdf</v>
      </c>
      <c r="G58" t="str">
        <f>TRIM(MID(replaceSt(E58,"\","\\"),1,lastSt1("\",replaceSt(E58,"\","\\")))&amp;TRIM(C58))</f>
        <v>Escaneo 2025\\250\\IN_LeyOrgArmada-Art2y20.pdf</v>
      </c>
      <c r="H58" t="str">
        <f>"notFoundFile.append('"&amp;TRIM(C58)&amp;"')"</f>
        <v>notFoundFile.append('IN_LeyOrgArmada-Art2y20.pdf')</v>
      </c>
      <c r="I58" t="str">
        <f>"notFoundWeb.append('"&amp;F58&amp;"')"</f>
        <v>notFoundWeb.append('Documentos compartidos/peticiones/Escaneo 2025/250/IN_LeyOrgArmada-Art2y20.pdf')</v>
      </c>
      <c r="J58" t="str">
        <f>"notFoundLocal.append('"&amp;G58&amp;"')"</f>
        <v>notFoundLocal.append('Escaneo 2025\\250\\IN_LeyOrgArmada-Art2y20.pdf')</v>
      </c>
    </row>
    <row r="59" spans="1:10" x14ac:dyDescent="0.25">
      <c r="A59">
        <v>235</v>
      </c>
      <c r="B59">
        <f>LEN(C59)</f>
        <v>19</v>
      </c>
      <c r="C59" t="s">
        <v>357</v>
      </c>
      <c r="D59" t="s">
        <v>358</v>
      </c>
      <c r="E59" t="s">
        <v>359</v>
      </c>
      <c r="F59" t="str">
        <f>TRIM(MID(D59,1,lastSt1("/",D59))&amp;TRIM(C59))</f>
        <v>Documentos compartidos/peticiones/Escaneo 2025/250/EN_FOLIO 002213.pdf</v>
      </c>
      <c r="G59" t="str">
        <f>TRIM(MID(replaceSt(E59,"\","\\"),1,lastSt1("\",replaceSt(E59,"\","\\")))&amp;TRIM(C59))</f>
        <v>Escaneo 2025\\250\\EN_FOLIO 002213.pdf</v>
      </c>
      <c r="H59" t="str">
        <f>"notFoundFile.append('"&amp;TRIM(C59)&amp;"')"</f>
        <v>notFoundFile.append('EN_FOLIO 002213.pdf')</v>
      </c>
      <c r="I59" t="str">
        <f>"notFoundWeb.append('"&amp;F59&amp;"')"</f>
        <v>notFoundWeb.append('Documentos compartidos/peticiones/Escaneo 2025/250/EN_FOLIO 002213.pdf')</v>
      </c>
      <c r="J59" t="str">
        <f>"notFoundLocal.append('"&amp;G59&amp;"')"</f>
        <v>notFoundLocal.append('Escaneo 2025\\250\\EN_FOLIO 002213.pdf')</v>
      </c>
    </row>
    <row r="60" spans="1:10" x14ac:dyDescent="0.25">
      <c r="A60">
        <v>34</v>
      </c>
      <c r="B60">
        <f>LEN(C60)</f>
        <v>27</v>
      </c>
      <c r="C60" t="s">
        <v>360</v>
      </c>
      <c r="D60" t="s">
        <v>361</v>
      </c>
      <c r="E60" t="s">
        <v>362</v>
      </c>
      <c r="F60" t="str">
        <f>TRIM(MID(D60,1,lastSt1("/",D60))&amp;TRIM(C60))</f>
        <v>Documentos compartidos/peticiones/Escaneo 2025/076/8/RS_O-IPP-076.8-OFICIO F.pdf</v>
      </c>
      <c r="G60" t="str">
        <f>TRIM(MID(replaceSt(E60,"\","\\"),1,lastSt1("\",replaceSt(E60,"\","\\")))&amp;TRIM(C60))</f>
        <v>Escaneo 2025\\076\\8\\RS_O-IPP-076.8-OFICIO F.pdf</v>
      </c>
      <c r="H60" t="str">
        <f>"notFoundFile.append('"&amp;TRIM(C60)&amp;"')"</f>
        <v>notFoundFile.append('RS_O-IPP-076.8-OFICIO F.pdf')</v>
      </c>
      <c r="I60" t="str">
        <f>"notFoundWeb.append('"&amp;F60&amp;"')"</f>
        <v>notFoundWeb.append('Documentos compartidos/peticiones/Escaneo 2025/076/8/RS_O-IPP-076.8-OFICIO F.pdf')</v>
      </c>
      <c r="J60" t="str">
        <f>"notFoundLocal.append('"&amp;G60&amp;"')"</f>
        <v>notFoundLocal.append('Escaneo 2025\\076\\8\\RS_O-IPP-076.8-OFICIO F.pdf')</v>
      </c>
    </row>
    <row r="61" spans="1:10" x14ac:dyDescent="0.25">
      <c r="A61">
        <v>43</v>
      </c>
      <c r="B61">
        <f>LEN(C61)</f>
        <v>21</v>
      </c>
      <c r="C61" t="s">
        <v>67</v>
      </c>
      <c r="D61" t="s">
        <v>68</v>
      </c>
      <c r="E61" t="s">
        <v>69</v>
      </c>
      <c r="F61" t="str">
        <f>TRIM(MID(D61,1,lastSt1("/",D61))&amp;TRIM(C61))</f>
        <v>Documentos compartidos/peticiones/Escaneo 2025/076/8/RS_O_IPP 076.8 M.docx</v>
      </c>
      <c r="G61" t="str">
        <f>TRIM(MID(replaceSt(E61,"\","\\"),1,lastSt1("\",replaceSt(E61,"\","\\")))&amp;TRIM(C61))</f>
        <v>Escaneo 2025\\076\\8\\RS_O_IPP 076.8 M.docx</v>
      </c>
      <c r="H61" t="str">
        <f>"notFoundFile.append('"&amp;TRIM(C61)&amp;"')"</f>
        <v>notFoundFile.append('RS_O_IPP 076.8 M.docx')</v>
      </c>
      <c r="I61" t="str">
        <f>"notFoundWeb.append('"&amp;F61&amp;"')"</f>
        <v>notFoundWeb.append('Documentos compartidos/peticiones/Escaneo 2025/076/8/RS_O_IPP 076.8 M.docx')</v>
      </c>
      <c r="J61" t="str">
        <f>"notFoundLocal.append('"&amp;G61&amp;"')"</f>
        <v>notFoundLocal.append('Escaneo 2025\\076\\8\\RS_O_IPP 076.8 M.docx')</v>
      </c>
    </row>
    <row r="62" spans="1:10" x14ac:dyDescent="0.25">
      <c r="A62">
        <v>63</v>
      </c>
      <c r="B62">
        <f>LEN(C62)</f>
        <v>23</v>
      </c>
      <c r="C62" t="s">
        <v>70</v>
      </c>
      <c r="D62" t="s">
        <v>71</v>
      </c>
      <c r="E62" t="s">
        <v>72</v>
      </c>
      <c r="F62" t="str">
        <f>TRIM(MID(D62,1,lastSt1("/",D62))&amp;TRIM(C62))</f>
        <v>Documentos compartidos/peticiones/Escaneo 2025/076/10/RS_IPP 076.10 2025.docx</v>
      </c>
      <c r="G62" t="str">
        <f>TRIM(MID(replaceSt(E62,"\","\\"),1,lastSt1("\",replaceSt(E62,"\","\\")))&amp;TRIM(C62))</f>
        <v>Escaneo 2025\\076\\10\\RS_IPP 076.10 2025.docx</v>
      </c>
      <c r="H62" t="str">
        <f>"notFoundFile.append('"&amp;TRIM(C62)&amp;"')"</f>
        <v>notFoundFile.append('RS_IPP 076.10 2025.docx')</v>
      </c>
      <c r="I62" t="str">
        <f>"notFoundWeb.append('"&amp;F62&amp;"')"</f>
        <v>notFoundWeb.append('Documentos compartidos/peticiones/Escaneo 2025/076/10/RS_IPP 076.10 2025.docx')</v>
      </c>
      <c r="J62" t="str">
        <f>"notFoundLocal.append('"&amp;G62&amp;"')"</f>
        <v>notFoundLocal.append('Escaneo 2025\\076\\10\\RS_IPP 076.10 2025.docx')</v>
      </c>
    </row>
    <row r="63" spans="1:10" x14ac:dyDescent="0.25">
      <c r="A63">
        <v>184</v>
      </c>
      <c r="B63">
        <f>LEN(C63)</f>
        <v>19</v>
      </c>
      <c r="C63" t="s">
        <v>363</v>
      </c>
      <c r="D63" t="s">
        <v>364</v>
      </c>
      <c r="E63" t="s">
        <v>365</v>
      </c>
      <c r="F63" t="str">
        <f>TRIM(MID(D63,1,lastSt1("/",D63))&amp;TRIM(C63))</f>
        <v>Documentos compartidos/peticiones/Escaneo 2025/076/6/RS_O-IPP-076.6.docx</v>
      </c>
      <c r="G63" t="str">
        <f>TRIM(MID(replaceSt(E63,"\","\\"),1,lastSt1("\",replaceSt(E63,"\","\\")))&amp;TRIM(C63))</f>
        <v>Escaneo 2025\\076\\6\\RS_O-IPP-076.6.docx</v>
      </c>
      <c r="H63" t="str">
        <f>"notFoundFile.append('"&amp;TRIM(C63)&amp;"')"</f>
        <v>notFoundFile.append('RS_O-IPP-076.6.docx')</v>
      </c>
      <c r="I63" t="str">
        <f>"notFoundWeb.append('"&amp;F63&amp;"')"</f>
        <v>notFoundWeb.append('Documentos compartidos/peticiones/Escaneo 2025/076/6/RS_O-IPP-076.6.docx')</v>
      </c>
      <c r="J63" t="str">
        <f>"notFoundLocal.append('"&amp;G63&amp;"')"</f>
        <v>notFoundLocal.append('Escaneo 2025\\076\\6\\RS_O-IPP-076.6.docx')</v>
      </c>
    </row>
    <row r="64" spans="1:10" x14ac:dyDescent="0.25">
      <c r="A64">
        <v>40</v>
      </c>
      <c r="B64">
        <f>LEN(C64)</f>
        <v>27</v>
      </c>
      <c r="C64" t="s">
        <v>366</v>
      </c>
      <c r="D64" t="s">
        <v>367</v>
      </c>
      <c r="E64" t="s">
        <v>368</v>
      </c>
      <c r="F64" t="str">
        <f>TRIM(MID(D64,1,lastSt1("/",D64))&amp;TRIM(C64))</f>
        <v>Documentos compartidos/peticiones/Escaneo 2025/076/6/RS_O-IPP-076.6-OFICIO F.pdf</v>
      </c>
      <c r="G64" t="str">
        <f>TRIM(MID(replaceSt(E64,"\","\\"),1,lastSt1("\",replaceSt(E64,"\","\\")))&amp;TRIM(C64))</f>
        <v>Escaneo 2025\\076\\6\\RS_O-IPP-076.6-OFICIO F.pdf</v>
      </c>
      <c r="H64" t="str">
        <f>"notFoundFile.append('"&amp;TRIM(C64)&amp;"')"</f>
        <v>notFoundFile.append('RS_O-IPP-076.6-OFICIO F.pdf')</v>
      </c>
      <c r="I64" t="str">
        <f>"notFoundWeb.append('"&amp;F64&amp;"')"</f>
        <v>notFoundWeb.append('Documentos compartidos/peticiones/Escaneo 2025/076/6/RS_O-IPP-076.6-OFICIO F.pdf')</v>
      </c>
      <c r="J64" t="str">
        <f>"notFoundLocal.append('"&amp;G64&amp;"')"</f>
        <v>notFoundLocal.append('Escaneo 2025\\076\\6\\RS_O-IPP-076.6-OFICIO F.pdf')</v>
      </c>
    </row>
    <row r="65" spans="1:10" x14ac:dyDescent="0.25">
      <c r="A65">
        <v>66</v>
      </c>
      <c r="B65">
        <f>LEN(C65)</f>
        <v>27</v>
      </c>
      <c r="C65" t="s">
        <v>369</v>
      </c>
      <c r="D65" t="s">
        <v>370</v>
      </c>
      <c r="E65" t="s">
        <v>371</v>
      </c>
      <c r="F65" t="str">
        <f>TRIM(MID(D65,1,lastSt1("/",D65))&amp;TRIM(C65))</f>
        <v>Documentos compartidos/peticiones/Escaneo 2025/076/4/RS_O-IPP-076.4-OFICIO F.pdf</v>
      </c>
      <c r="G65" t="str">
        <f>TRIM(MID(replaceSt(E65,"\","\\"),1,lastSt1("\",replaceSt(E65,"\","\\")))&amp;TRIM(C65))</f>
        <v>Escaneo 2025\\076\\4\\RS_O-IPP-076.4-OFICIO F.pdf</v>
      </c>
      <c r="H65" t="str">
        <f>"notFoundFile.append('"&amp;TRIM(C65)&amp;"')"</f>
        <v>notFoundFile.append('RS_O-IPP-076.4-OFICIO F.pdf')</v>
      </c>
      <c r="I65" t="str">
        <f>"notFoundWeb.append('"&amp;F65&amp;"')"</f>
        <v>notFoundWeb.append('Documentos compartidos/peticiones/Escaneo 2025/076/4/RS_O-IPP-076.4-OFICIO F.pdf')</v>
      </c>
      <c r="J65" t="str">
        <f>"notFoundLocal.append('"&amp;G65&amp;"')"</f>
        <v>notFoundLocal.append('Escaneo 2025\\076\\4\\RS_O-IPP-076.4-OFICIO F.pdf')</v>
      </c>
    </row>
    <row r="66" spans="1:10" x14ac:dyDescent="0.25">
      <c r="A66">
        <v>108</v>
      </c>
      <c r="B66">
        <f>LEN(C66)</f>
        <v>28</v>
      </c>
      <c r="C66" t="s">
        <v>372</v>
      </c>
      <c r="D66" t="s">
        <v>373</v>
      </c>
      <c r="E66" t="s">
        <v>374</v>
      </c>
      <c r="F66" t="str">
        <f>TRIM(MID(D66,1,lastSt1("/",D66))&amp;TRIM(C66))</f>
        <v>Documentos compartidos/peticiones/Escaneo 2025/076/1/RS_O-IPP-076.11-OFICIO F.pdf</v>
      </c>
      <c r="G66" t="str">
        <f>TRIM(MID(replaceSt(E66,"\","\\"),1,lastSt1("\",replaceSt(E66,"\","\\")))&amp;TRIM(C66))</f>
        <v>Escaneo 2025\\076\\1\\RS_O-IPP-076.11-OFICIO F.pdf</v>
      </c>
      <c r="H66" t="str">
        <f>"notFoundFile.append('"&amp;TRIM(C66)&amp;"')"</f>
        <v>notFoundFile.append('RS_O-IPP-076.11-OFICIO F.pdf')</v>
      </c>
      <c r="I66" t="str">
        <f>"notFoundWeb.append('"&amp;F66&amp;"')"</f>
        <v>notFoundWeb.append('Documentos compartidos/peticiones/Escaneo 2025/076/1/RS_O-IPP-076.11-OFICIO F.pdf')</v>
      </c>
      <c r="J66" t="str">
        <f>"notFoundLocal.append('"&amp;G66&amp;"')"</f>
        <v>notFoundLocal.append('Escaneo 2025\\076\\1\\RS_O-IPP-076.11-OFICIO F.pdf')</v>
      </c>
    </row>
    <row r="67" spans="1:10" x14ac:dyDescent="0.25">
      <c r="A67">
        <v>4</v>
      </c>
      <c r="B67">
        <f>LEN(C67)</f>
        <v>19</v>
      </c>
      <c r="C67" t="s">
        <v>375</v>
      </c>
      <c r="D67" t="s">
        <v>376</v>
      </c>
      <c r="E67" t="s">
        <v>377</v>
      </c>
      <c r="F67" t="str">
        <f>TRIM(MID(D67,1,lastSt1("/",D67))&amp;TRIM(C67))</f>
        <v>Documentos compartidos/peticiones/Escaneo 2025/132/3/RS_O-IPP-132.3.docx</v>
      </c>
      <c r="G67" t="str">
        <f>TRIM(MID(replaceSt(E67,"\","\\"),1,lastSt1("\",replaceSt(E67,"\","\\")))&amp;TRIM(C67))</f>
        <v>Escaneo 2025\\132\\3\\RS_O-IPP-132.3.docx</v>
      </c>
      <c r="H67" t="str">
        <f>"notFoundFile.append('"&amp;TRIM(C67)&amp;"')"</f>
        <v>notFoundFile.append('RS_O-IPP-132.3.docx')</v>
      </c>
      <c r="I67" t="str">
        <f>"notFoundWeb.append('"&amp;F67&amp;"')"</f>
        <v>notFoundWeb.append('Documentos compartidos/peticiones/Escaneo 2025/132/3/RS_O-IPP-132.3.docx')</v>
      </c>
      <c r="J67" t="str">
        <f>"notFoundLocal.append('"&amp;G67&amp;"')"</f>
        <v>notFoundLocal.append('Escaneo 2025\\132\\3\\RS_O-IPP-132.3.docx')</v>
      </c>
    </row>
    <row r="68" spans="1:10" x14ac:dyDescent="0.25">
      <c r="A68">
        <v>242</v>
      </c>
      <c r="B68">
        <f>LEN(C68)</f>
        <v>27</v>
      </c>
      <c r="C68" t="s">
        <v>378</v>
      </c>
      <c r="D68" t="s">
        <v>379</v>
      </c>
      <c r="E68" t="s">
        <v>380</v>
      </c>
      <c r="F68" t="str">
        <f>TRIM(MID(D68,1,lastSt1("/",D68))&amp;TRIM(C68))</f>
        <v>Documentos compartidos/peticiones/Escaneo 2025/132/3/RS_O-IPP-132.3-OFICIO F.pdf</v>
      </c>
      <c r="G68" t="str">
        <f>TRIM(MID(replaceSt(E68,"\","\\"),1,lastSt1("\",replaceSt(E68,"\","\\")))&amp;TRIM(C68))</f>
        <v>Escaneo 2025\\132\\3\\RS_O-IPP-132.3-OFICIO F.pdf</v>
      </c>
      <c r="H68" t="str">
        <f>"notFoundFile.append('"&amp;TRIM(C68)&amp;"')"</f>
        <v>notFoundFile.append('RS_O-IPP-132.3-OFICIO F.pdf')</v>
      </c>
      <c r="I68" t="str">
        <f>"notFoundWeb.append('"&amp;F68&amp;"')"</f>
        <v>notFoundWeb.append('Documentos compartidos/peticiones/Escaneo 2025/132/3/RS_O-IPP-132.3-OFICIO F.pdf')</v>
      </c>
      <c r="J68" t="str">
        <f>"notFoundLocal.append('"&amp;G68&amp;"')"</f>
        <v>notFoundLocal.append('Escaneo 2025\\132\\3\\RS_O-IPP-132.3-OFICIO F.pdf')</v>
      </c>
    </row>
    <row r="69" spans="1:10" x14ac:dyDescent="0.25">
      <c r="A69">
        <v>71</v>
      </c>
      <c r="B69">
        <f>LEN(C69)</f>
        <v>17</v>
      </c>
      <c r="C69" t="s">
        <v>73</v>
      </c>
      <c r="D69" t="s">
        <v>74</v>
      </c>
      <c r="E69" t="s">
        <v>75</v>
      </c>
      <c r="F69" t="str">
        <f>TRIM(MID(D69,1,lastSt1("/",D69))&amp;TRIM(C69))</f>
        <v>Documentos compartidos/peticiones/Escaneo 2025/132/4/VL_IPP 132-4.docx</v>
      </c>
      <c r="G69" t="str">
        <f>TRIM(MID(replaceSt(E69,"\","\\"),1,lastSt1("\",replaceSt(E69,"\","\\")))&amp;TRIM(C69))</f>
        <v>Escaneo 2025\\132\\4\\VL_IPP 132-4.docx</v>
      </c>
      <c r="H69" t="str">
        <f>"notFoundFile.append('"&amp;TRIM(C69)&amp;"')"</f>
        <v>notFoundFile.append('VL_IPP 132-4.docx')</v>
      </c>
      <c r="I69" t="str">
        <f>"notFoundWeb.append('"&amp;F69&amp;"')"</f>
        <v>notFoundWeb.append('Documentos compartidos/peticiones/Escaneo 2025/132/4/VL_IPP 132-4.docx')</v>
      </c>
      <c r="J69" t="str">
        <f>"notFoundLocal.append('"&amp;G69&amp;"')"</f>
        <v>notFoundLocal.append('Escaneo 2025\\132\\4\\VL_IPP 132-4.docx')</v>
      </c>
    </row>
    <row r="70" spans="1:10" x14ac:dyDescent="0.25">
      <c r="A70">
        <v>20</v>
      </c>
      <c r="B70">
        <f>LEN(C70)</f>
        <v>27</v>
      </c>
      <c r="C70" t="s">
        <v>381</v>
      </c>
      <c r="D70" t="s">
        <v>382</v>
      </c>
      <c r="E70" t="s">
        <v>383</v>
      </c>
      <c r="F70" t="str">
        <f>TRIM(MID(D70,1,lastSt1("/",D70))&amp;TRIM(C70))</f>
        <v>Documentos compartidos/peticiones/Escaneo 2025/132/4/RS_O-IPP-132.4-OFICIO F.pdf</v>
      </c>
      <c r="G70" t="str">
        <f>TRIM(MID(replaceSt(E70,"\","\\"),1,lastSt1("\",replaceSt(E70,"\","\\")))&amp;TRIM(C70))</f>
        <v>Escaneo 2025\\132\\4\\RS_O-IPP-132.4-OFICIO F.pdf</v>
      </c>
      <c r="H70" t="str">
        <f>"notFoundFile.append('"&amp;TRIM(C70)&amp;"')"</f>
        <v>notFoundFile.append('RS_O-IPP-132.4-OFICIO F.pdf')</v>
      </c>
      <c r="I70" t="str">
        <f>"notFoundWeb.append('"&amp;F70&amp;"')"</f>
        <v>notFoundWeb.append('Documentos compartidos/peticiones/Escaneo 2025/132/4/RS_O-IPP-132.4-OFICIO F.pdf')</v>
      </c>
      <c r="J70" t="str">
        <f>"notFoundLocal.append('"&amp;G70&amp;"')"</f>
        <v>notFoundLocal.append('Escaneo 2025\\132\\4\\RS_O-IPP-132.4-OFICIO F.pdf')</v>
      </c>
    </row>
    <row r="71" spans="1:10" x14ac:dyDescent="0.25">
      <c r="A71">
        <v>205</v>
      </c>
      <c r="B71">
        <f>LEN(C71)</f>
        <v>19</v>
      </c>
      <c r="C71" t="s">
        <v>76</v>
      </c>
      <c r="D71" t="s">
        <v>77</v>
      </c>
      <c r="E71" t="s">
        <v>78</v>
      </c>
      <c r="F71" t="str">
        <f>TRIM(MID(D71,1,lastSt1("/",D71))&amp;TRIM(C71))</f>
        <v>Documentos compartidos/peticiones/Escaneo 2025/224/EN_FOLIO 002189.pdf</v>
      </c>
      <c r="G71" t="str">
        <f>TRIM(MID(replaceSt(E71,"\","\\"),1,lastSt1("\",replaceSt(E71,"\","\\")))&amp;TRIM(C71))</f>
        <v>Escaneo 2025\\224\\EN_FOLIO 002189.pdf</v>
      </c>
      <c r="H71" t="str">
        <f>"notFoundFile.append('"&amp;TRIM(C71)&amp;"')"</f>
        <v>notFoundFile.append('EN_FOLIO 002189.pdf')</v>
      </c>
      <c r="I71" t="str">
        <f>"notFoundWeb.append('"&amp;F71&amp;"')"</f>
        <v>notFoundWeb.append('Documentos compartidos/peticiones/Escaneo 2025/224/EN_FOLIO 002189.pdf')</v>
      </c>
      <c r="J71" t="str">
        <f>"notFoundLocal.append('"&amp;G71&amp;"')"</f>
        <v>notFoundLocal.append('Escaneo 2025\\224\\EN_FOLIO 002189.pdf')</v>
      </c>
    </row>
    <row r="72" spans="1:10" x14ac:dyDescent="0.25">
      <c r="A72">
        <v>135</v>
      </c>
      <c r="B72">
        <f>LEN(C72)</f>
        <v>32</v>
      </c>
      <c r="C72" t="s">
        <v>384</v>
      </c>
      <c r="D72" t="s">
        <v>385</v>
      </c>
      <c r="E72" t="s">
        <v>386</v>
      </c>
      <c r="F72" t="str">
        <f>TRIM(MID(D72,1,lastSt1("/",D72))&amp;TRIM(C72))</f>
        <v>Documentos compartidos/peticiones/Escaneo 2025/224/IN_LeyComercioSemillas-Art11.pdf</v>
      </c>
      <c r="G72" t="str">
        <f>TRIM(MID(replaceSt(E72,"\","\\"),1,lastSt1("\",replaceSt(E72,"\","\\")))&amp;TRIM(C72))</f>
        <v>Escaneo 2025\\224\\IN_LeyComercioSemillas-Art11.pdf</v>
      </c>
      <c r="H72" t="str">
        <f>"notFoundFile.append('"&amp;TRIM(C72)&amp;"')"</f>
        <v>notFoundFile.append('IN_LeyComercioSemillas-Art11.pdf')</v>
      </c>
      <c r="I72" t="str">
        <f>"notFoundWeb.append('"&amp;F72&amp;"')"</f>
        <v>notFoundWeb.append('Documentos compartidos/peticiones/Escaneo 2025/224/IN_LeyComercioSemillas-Art11.pdf')</v>
      </c>
      <c r="J72" t="str">
        <f>"notFoundLocal.append('"&amp;G72&amp;"')"</f>
        <v>notFoundLocal.append('Escaneo 2025\\224\\IN_LeyComercioSemillas-Art11.pdf')</v>
      </c>
    </row>
    <row r="73" spans="1:10" x14ac:dyDescent="0.25">
      <c r="A73">
        <v>72</v>
      </c>
      <c r="B73">
        <f>LEN(C73)</f>
        <v>27</v>
      </c>
      <c r="C73" t="s">
        <v>387</v>
      </c>
      <c r="D73" t="s">
        <v>388</v>
      </c>
      <c r="E73" t="s">
        <v>389</v>
      </c>
      <c r="F73" t="str">
        <f>TRIM(MID(D73,1,lastSt1("/",D73))&amp;TRIM(C73))</f>
        <v>Documentos compartidos/peticiones/Escaneo 2025/052/6/RS_O-IPP-052.6-OFICIO F.pdf</v>
      </c>
      <c r="G73" t="str">
        <f>TRIM(MID(replaceSt(E73,"\","\\"),1,lastSt1("\",replaceSt(E73,"\","\\")))&amp;TRIM(C73))</f>
        <v>Escaneo 2025\\052\\6\\RS_O-IPP-052.6-OFICIO F.pdf</v>
      </c>
      <c r="H73" t="str">
        <f>"notFoundFile.append('"&amp;TRIM(C73)&amp;"')"</f>
        <v>notFoundFile.append('RS_O-IPP-052.6-OFICIO F.pdf')</v>
      </c>
      <c r="I73" t="str">
        <f>"notFoundWeb.append('"&amp;F73&amp;"')"</f>
        <v>notFoundWeb.append('Documentos compartidos/peticiones/Escaneo 2025/052/6/RS_O-IPP-052.6-OFICIO F.pdf')</v>
      </c>
      <c r="J73" t="str">
        <f>"notFoundLocal.append('"&amp;G73&amp;"')"</f>
        <v>notFoundLocal.append('Escaneo 2025\\052\\6\\RS_O-IPP-052.6-OFICIO F.pdf')</v>
      </c>
    </row>
    <row r="74" spans="1:10" x14ac:dyDescent="0.25">
      <c r="A74">
        <v>104</v>
      </c>
      <c r="B74">
        <f>LEN(C74)</f>
        <v>19</v>
      </c>
      <c r="C74" t="s">
        <v>79</v>
      </c>
      <c r="D74" t="s">
        <v>80</v>
      </c>
      <c r="E74" t="s">
        <v>81</v>
      </c>
      <c r="F74" t="str">
        <f>TRIM(MID(D74,1,lastSt1("/",D74))&amp;TRIM(C74))</f>
        <v>Documentos compartidos/peticiones/Escaneo 2025/216/EN_FOLIO 002184.pdf</v>
      </c>
      <c r="G74" t="str">
        <f>TRIM(MID(replaceSt(E74,"\","\\"),1,lastSt1("\",replaceSt(E74,"\","\\")))&amp;TRIM(C74))</f>
        <v>Escaneo 2025\\216\\EN_FOLIO 002184.pdf</v>
      </c>
      <c r="H74" t="str">
        <f>"notFoundFile.append('"&amp;TRIM(C74)&amp;"')"</f>
        <v>notFoundFile.append('EN_FOLIO 002184.pdf')</v>
      </c>
      <c r="I74" t="str">
        <f>"notFoundWeb.append('"&amp;F74&amp;"')"</f>
        <v>notFoundWeb.append('Documentos compartidos/peticiones/Escaneo 2025/216/EN_FOLIO 002184.pdf')</v>
      </c>
      <c r="J74" t="str">
        <f>"notFoundLocal.append('"&amp;G74&amp;"')"</f>
        <v>notFoundLocal.append('Escaneo 2025\\216\\EN_FOLIO 002184.pdf')</v>
      </c>
    </row>
    <row r="75" spans="1:10" x14ac:dyDescent="0.25">
      <c r="A75">
        <v>77</v>
      </c>
      <c r="B75">
        <f>LEN(C75)</f>
        <v>21</v>
      </c>
      <c r="C75" t="s">
        <v>390</v>
      </c>
      <c r="D75" t="s">
        <v>391</v>
      </c>
      <c r="E75" t="s">
        <v>392</v>
      </c>
      <c r="F75" t="str">
        <f>TRIM(MID(D75,1,lastSt1("/",D75))&amp;TRIM(C75))</f>
        <v>Documentos compartidos/peticiones/Escaneo 2025/216/IN_CódPen-ServPúb.pdf</v>
      </c>
      <c r="G75" t="str">
        <f>TRIM(MID(replaceSt(E75,"\","\\"),1,lastSt1("\",replaceSt(E75,"\","\\")))&amp;TRIM(C75))</f>
        <v>Escaneo 2025\\216\\IN_CódPen-ServPúb.pdf</v>
      </c>
      <c r="H75" t="str">
        <f>"notFoundFile.append('"&amp;TRIM(C75)&amp;"')"</f>
        <v>notFoundFile.append('IN_CódPen-ServPúb.pdf')</v>
      </c>
      <c r="I75" t="str">
        <f>"notFoundWeb.append('"&amp;F75&amp;"')"</f>
        <v>notFoundWeb.append('Documentos compartidos/peticiones/Escaneo 2025/216/IN_CódPen-ServPúb.pdf')</v>
      </c>
      <c r="J75" t="str">
        <f>"notFoundLocal.append('"&amp;G75&amp;"')"</f>
        <v>notFoundLocal.append('Escaneo 2025\\216\\IN_CódPen-ServPúb.pdf')</v>
      </c>
    </row>
    <row r="76" spans="1:10" x14ac:dyDescent="0.25">
      <c r="A76">
        <v>174</v>
      </c>
      <c r="B76">
        <f>LEN(C76)</f>
        <v>19</v>
      </c>
      <c r="C76" t="s">
        <v>82</v>
      </c>
      <c r="D76" t="s">
        <v>83</v>
      </c>
      <c r="E76" t="s">
        <v>84</v>
      </c>
      <c r="F76" t="str">
        <f>TRIM(MID(D76,1,lastSt1("/",D76))&amp;TRIM(C76))</f>
        <v>Documentos compartidos/peticiones/Escaneo 2025/231/3/EN_FOLIO 002197.pdf</v>
      </c>
      <c r="G76" t="str">
        <f>TRIM(MID(replaceSt(E76,"\","\\"),1,lastSt1("\",replaceSt(E76,"\","\\")))&amp;TRIM(C76))</f>
        <v>Escaneo 2025\\231\\3\\EN_FOLIO 002197.pdf</v>
      </c>
      <c r="H76" t="str">
        <f>"notFoundFile.append('"&amp;TRIM(C76)&amp;"')"</f>
        <v>notFoundFile.append('EN_FOLIO 002197.pdf')</v>
      </c>
      <c r="I76" t="str">
        <f>"notFoundWeb.append('"&amp;F76&amp;"')"</f>
        <v>notFoundWeb.append('Documentos compartidos/peticiones/Escaneo 2025/231/3/EN_FOLIO 002197.pdf')</v>
      </c>
      <c r="J76" t="str">
        <f>"notFoundLocal.append('"&amp;G76&amp;"')"</f>
        <v>notFoundLocal.append('Escaneo 2025\\231\\3\\EN_FOLIO 002197.pdf')</v>
      </c>
    </row>
    <row r="77" spans="1:10" x14ac:dyDescent="0.25">
      <c r="A77">
        <v>67</v>
      </c>
      <c r="B77">
        <f>LEN(C77)</f>
        <v>28</v>
      </c>
      <c r="C77" t="s">
        <v>393</v>
      </c>
      <c r="D77" t="s">
        <v>394</v>
      </c>
      <c r="E77" t="s">
        <v>395</v>
      </c>
      <c r="F77" t="str">
        <f>TRIM(MID(D77,1,lastSt1("/",D77))&amp;TRIM(C77))</f>
        <v>Documentos compartidos/peticiones/Escaneo 2025/231/3/IN_LeyMecanismosAlternos.pdf</v>
      </c>
      <c r="G77" t="str">
        <f>TRIM(MID(replaceSt(E77,"\","\\"),1,lastSt1("\",replaceSt(E77,"\","\\")))&amp;TRIM(C77))</f>
        <v>Escaneo 2025\\231\\3\\IN_LeyMecanismosAlternos.pdf</v>
      </c>
      <c r="H77" t="str">
        <f>"notFoundFile.append('"&amp;TRIM(C77)&amp;"')"</f>
        <v>notFoundFile.append('IN_LeyMecanismosAlternos.pdf')</v>
      </c>
      <c r="I77" t="str">
        <f>"notFoundWeb.append('"&amp;F77&amp;"')"</f>
        <v>notFoundWeb.append('Documentos compartidos/peticiones/Escaneo 2025/231/3/IN_LeyMecanismosAlternos.pdf')</v>
      </c>
      <c r="J77" t="str">
        <f>"notFoundLocal.append('"&amp;G77&amp;"')"</f>
        <v>notFoundLocal.append('Escaneo 2025\\231\\3\\IN_LeyMecanismosAlternos.pdf')</v>
      </c>
    </row>
    <row r="78" spans="1:10" x14ac:dyDescent="0.25">
      <c r="A78">
        <v>166</v>
      </c>
      <c r="B78">
        <f>LEN(C78)</f>
        <v>34</v>
      </c>
      <c r="C78" t="s">
        <v>396</v>
      </c>
      <c r="D78" t="s">
        <v>397</v>
      </c>
      <c r="E78" t="s">
        <v>398</v>
      </c>
      <c r="F78" t="str">
        <f>TRIM(MID(D78,1,lastSt1("/",D78))&amp;TRIM(C78))</f>
        <v>Documentos compartidos/peticiones/Escaneo 2025/231/4/RS_OIPP231-4 igual al OIPP204.docx</v>
      </c>
      <c r="G78" t="str">
        <f>TRIM(MID(replaceSt(E78,"\","\\"),1,lastSt1("\",replaceSt(E78,"\","\\")))&amp;TRIM(C78))</f>
        <v>Escaneo 2025\\231\\4\\RS_OIPP231-4 igual al OIPP204.docx</v>
      </c>
      <c r="H78" t="str">
        <f>"notFoundFile.append('"&amp;TRIM(C78)&amp;"')"</f>
        <v>notFoundFile.append('RS_OIPP231-4 igual al OIPP204.docx')</v>
      </c>
      <c r="I78" t="str">
        <f>"notFoundWeb.append('"&amp;F78&amp;"')"</f>
        <v>notFoundWeb.append('Documentos compartidos/peticiones/Escaneo 2025/231/4/RS_OIPP231-4 igual al OIPP204.docx')</v>
      </c>
      <c r="J78" t="str">
        <f>"notFoundLocal.append('"&amp;G78&amp;"')"</f>
        <v>notFoundLocal.append('Escaneo 2025\\231\\4\\RS_OIPP231-4 igual al OIPP204.docx')</v>
      </c>
    </row>
    <row r="79" spans="1:10" x14ac:dyDescent="0.25">
      <c r="A79">
        <v>211</v>
      </c>
      <c r="B79">
        <f>LEN(C79)</f>
        <v>19</v>
      </c>
      <c r="C79" t="s">
        <v>82</v>
      </c>
      <c r="D79" t="s">
        <v>85</v>
      </c>
      <c r="E79" t="s">
        <v>86</v>
      </c>
      <c r="F79" t="str">
        <f>TRIM(MID(D79,1,lastSt1("/",D79))&amp;TRIM(C79))</f>
        <v>Documentos compartidos/peticiones/Escaneo 2025/231/4/EN_FOLIO 002197.pdf</v>
      </c>
      <c r="G79" t="str">
        <f>TRIM(MID(replaceSt(E79,"\","\\"),1,lastSt1("\",replaceSt(E79,"\","\\")))&amp;TRIM(C79))</f>
        <v>Escaneo 2025\\231\\4\\EN_FOLIO 002197.pdf</v>
      </c>
      <c r="H79" t="str">
        <f>"notFoundFile.append('"&amp;TRIM(C79)&amp;"')"</f>
        <v>notFoundFile.append('EN_FOLIO 002197.pdf')</v>
      </c>
      <c r="I79" t="str">
        <f>"notFoundWeb.append('"&amp;F79&amp;"')"</f>
        <v>notFoundWeb.append('Documentos compartidos/peticiones/Escaneo 2025/231/4/EN_FOLIO 002197.pdf')</v>
      </c>
      <c r="J79" t="str">
        <f>"notFoundLocal.append('"&amp;G79&amp;"')"</f>
        <v>notFoundLocal.append('Escaneo 2025\\231\\4\\EN_FOLIO 002197.pdf')</v>
      </c>
    </row>
    <row r="80" spans="1:10" x14ac:dyDescent="0.25">
      <c r="A80">
        <v>185</v>
      </c>
      <c r="B80">
        <f>LEN(C80)</f>
        <v>27</v>
      </c>
      <c r="C80" t="s">
        <v>399</v>
      </c>
      <c r="D80" t="s">
        <v>400</v>
      </c>
      <c r="E80" t="s">
        <v>401</v>
      </c>
      <c r="F80" t="str">
        <f>TRIM(MID(D80,1,lastSt1("/",D80))&amp;TRIM(C80))</f>
        <v>Documentos compartidos/peticiones/Escaneo 2025/231/4/IN_LetSistSegPúb-Art.21.pdf</v>
      </c>
      <c r="G80" t="str">
        <f>TRIM(MID(replaceSt(E80,"\","\\"),1,lastSt1("\",replaceSt(E80,"\","\\")))&amp;TRIM(C80))</f>
        <v>Escaneo 2025\\231\\4\\IN_LetSistSegPúb-Art.21.pdf</v>
      </c>
      <c r="H80" t="str">
        <f>"notFoundFile.append('"&amp;TRIM(C80)&amp;"')"</f>
        <v>notFoundFile.append('IN_LetSistSegPúb-Art.21.pdf')</v>
      </c>
      <c r="I80" t="str">
        <f>"notFoundWeb.append('"&amp;F80&amp;"')"</f>
        <v>notFoundWeb.append('Documentos compartidos/peticiones/Escaneo 2025/231/4/IN_LetSistSegPúb-Art.21.pdf')</v>
      </c>
      <c r="J80" t="str">
        <f>"notFoundLocal.append('"&amp;G80&amp;"')"</f>
        <v>notFoundLocal.append('Escaneo 2025\\231\\4\\IN_LetSistSegPúb-Art.21.pdf')</v>
      </c>
    </row>
    <row r="81" spans="1:10" x14ac:dyDescent="0.25">
      <c r="A81">
        <v>92</v>
      </c>
      <c r="B81">
        <f>LEN(C81)</f>
        <v>19</v>
      </c>
      <c r="C81" t="s">
        <v>82</v>
      </c>
      <c r="D81" t="s">
        <v>87</v>
      </c>
      <c r="E81" t="s">
        <v>88</v>
      </c>
      <c r="F81" t="str">
        <f>TRIM(MID(D81,1,lastSt1("/",D81))&amp;TRIM(C81))</f>
        <v>Documentos compartidos/peticiones/Escaneo 2025/231/1/EN_FOLIO 002197.pdf</v>
      </c>
      <c r="G81" t="str">
        <f>TRIM(MID(replaceSt(E81,"\","\\"),1,lastSt1("\",replaceSt(E81,"\","\\")))&amp;TRIM(C81))</f>
        <v>Escaneo 2025\\231\\1\\EN_FOLIO 002197.pdf</v>
      </c>
      <c r="H81" t="str">
        <f>"notFoundFile.append('"&amp;TRIM(C81)&amp;"')"</f>
        <v>notFoundFile.append('EN_FOLIO 002197.pdf')</v>
      </c>
      <c r="I81" t="str">
        <f>"notFoundWeb.append('"&amp;F81&amp;"')"</f>
        <v>notFoundWeb.append('Documentos compartidos/peticiones/Escaneo 2025/231/1/EN_FOLIO 002197.pdf')</v>
      </c>
      <c r="J81" t="str">
        <f>"notFoundLocal.append('"&amp;G81&amp;"')"</f>
        <v>notFoundLocal.append('Escaneo 2025\\231\\1\\EN_FOLIO 002197.pdf')</v>
      </c>
    </row>
    <row r="82" spans="1:10" x14ac:dyDescent="0.25">
      <c r="A82">
        <v>244</v>
      </c>
      <c r="B82">
        <f>LEN(C82)</f>
        <v>26</v>
      </c>
      <c r="C82" t="s">
        <v>402</v>
      </c>
      <c r="D82" t="s">
        <v>403</v>
      </c>
      <c r="E82" t="s">
        <v>404</v>
      </c>
      <c r="F82" t="str">
        <f>TRIM(MID(D82,1,lastSt1("/",D82))&amp;TRIM(C82))</f>
        <v>Documentos compartidos/peticiones/Escaneo 2025/231/1/IN_LeyGralSegPúb-Art76.pdf</v>
      </c>
      <c r="G82" t="str">
        <f>TRIM(MID(replaceSt(E82,"\","\\"),1,lastSt1("\",replaceSt(E82,"\","\\")))&amp;TRIM(C82))</f>
        <v>Escaneo 2025\\231\\1\\IN_LeyGralSegPúb-Art76.pdf</v>
      </c>
      <c r="H82" t="str">
        <f>"notFoundFile.append('"&amp;TRIM(C82)&amp;"')"</f>
        <v>notFoundFile.append('IN_LeyGralSegPúb-Art76.pdf')</v>
      </c>
      <c r="I82" t="str">
        <f>"notFoundWeb.append('"&amp;F82&amp;"')"</f>
        <v>notFoundWeb.append('Documentos compartidos/peticiones/Escaneo 2025/231/1/IN_LeyGralSegPúb-Art76.pdf')</v>
      </c>
      <c r="J82" t="str">
        <f>"notFoundLocal.append('"&amp;G82&amp;"')"</f>
        <v>notFoundLocal.append('Escaneo 2025\\231\\1\\IN_LeyGralSegPúb-Art76.pdf')</v>
      </c>
    </row>
    <row r="83" spans="1:10" x14ac:dyDescent="0.25">
      <c r="A83">
        <v>170</v>
      </c>
      <c r="B83">
        <f>LEN(C83)</f>
        <v>19</v>
      </c>
      <c r="C83" t="s">
        <v>82</v>
      </c>
      <c r="D83" t="s">
        <v>89</v>
      </c>
      <c r="E83" t="s">
        <v>90</v>
      </c>
      <c r="F83" t="str">
        <f>TRIM(MID(D83,1,lastSt1("/",D83))&amp;TRIM(C83))</f>
        <v>Documentos compartidos/peticiones/Escaneo 2025/231/2/EN_FOLIO 002197.pdf</v>
      </c>
      <c r="G83" t="str">
        <f>TRIM(MID(replaceSt(E83,"\","\\"),1,lastSt1("\",replaceSt(E83,"\","\\")))&amp;TRIM(C83))</f>
        <v>Escaneo 2025\\231\\2\\EN_FOLIO 002197.pdf</v>
      </c>
      <c r="H83" t="str">
        <f>"notFoundFile.append('"&amp;TRIM(C83)&amp;"')"</f>
        <v>notFoundFile.append('EN_FOLIO 002197.pdf')</v>
      </c>
      <c r="I83" t="str">
        <f>"notFoundWeb.append('"&amp;F83&amp;"')"</f>
        <v>notFoundWeb.append('Documentos compartidos/peticiones/Escaneo 2025/231/2/EN_FOLIO 002197.pdf')</v>
      </c>
      <c r="J83" t="str">
        <f>"notFoundLocal.append('"&amp;G83&amp;"')"</f>
        <v>notFoundLocal.append('Escaneo 2025\\231\\2\\EN_FOLIO 002197.pdf')</v>
      </c>
    </row>
    <row r="84" spans="1:10" x14ac:dyDescent="0.25">
      <c r="A84">
        <v>36</v>
      </c>
      <c r="B84">
        <f>LEN(C84)</f>
        <v>35</v>
      </c>
      <c r="C84" t="s">
        <v>405</v>
      </c>
      <c r="D84" t="s">
        <v>406</v>
      </c>
      <c r="E84" t="s">
        <v>407</v>
      </c>
      <c r="F84" t="str">
        <f>TRIM(MID(D84,1,lastSt1("/",D84))&amp;TRIM(C84))</f>
        <v>Documentos compartidos/peticiones/Escaneo 2025/231/2/IN_LeySistSegPúbArt45bisTerQuat.pdf</v>
      </c>
      <c r="G84" t="str">
        <f>TRIM(MID(replaceSt(E84,"\","\\"),1,lastSt1("\",replaceSt(E84,"\","\\")))&amp;TRIM(C84))</f>
        <v>Escaneo 2025\\231\\2\\IN_LeySistSegPúbArt45bisTerQuat.pdf</v>
      </c>
      <c r="H84" t="str">
        <f>"notFoundFile.append('"&amp;TRIM(C84)&amp;"')"</f>
        <v>notFoundFile.append('IN_LeySistSegPúbArt45bisTerQuat.pdf')</v>
      </c>
      <c r="I84" t="str">
        <f>"notFoundWeb.append('"&amp;F84&amp;"')"</f>
        <v>notFoundWeb.append('Documentos compartidos/peticiones/Escaneo 2025/231/2/IN_LeySistSegPúbArt45bisTerQuat.pdf')</v>
      </c>
      <c r="J84" t="str">
        <f>"notFoundLocal.append('"&amp;G84&amp;"')"</f>
        <v>notFoundLocal.append('Escaneo 2025\\231\\2\\IN_LeySistSegPúbArt45bisTerQuat.pdf')</v>
      </c>
    </row>
    <row r="85" spans="1:10" x14ac:dyDescent="0.25">
      <c r="A85">
        <v>157</v>
      </c>
      <c r="B85">
        <f>LEN(C85)</f>
        <v>19</v>
      </c>
      <c r="C85" t="s">
        <v>91</v>
      </c>
      <c r="D85" t="s">
        <v>92</v>
      </c>
      <c r="E85" t="s">
        <v>93</v>
      </c>
      <c r="F85" t="str">
        <f>TRIM(MID(D85,1,lastSt1("/",D85))&amp;TRIM(C85))</f>
        <v>Documentos compartidos/peticiones/Escaneo 2025/249/EN_FOLIO 002212.pdf</v>
      </c>
      <c r="G85" t="str">
        <f>TRIM(MID(replaceSt(E85,"\","\\"),1,lastSt1("\",replaceSt(E85,"\","\\")))&amp;TRIM(C85))</f>
        <v>Escaneo 2025\\249\\EN_FOLIO 002212.pdf</v>
      </c>
      <c r="H85" t="str">
        <f>"notFoundFile.append('"&amp;TRIM(C85)&amp;"')"</f>
        <v>notFoundFile.append('EN_FOLIO 002212.pdf')</v>
      </c>
      <c r="I85" t="str">
        <f>"notFoundWeb.append('"&amp;F85&amp;"')"</f>
        <v>notFoundWeb.append('Documentos compartidos/peticiones/Escaneo 2025/249/EN_FOLIO 002212.pdf')</v>
      </c>
      <c r="J85" t="str">
        <f>"notFoundLocal.append('"&amp;G85&amp;"')"</f>
        <v>notFoundLocal.append('Escaneo 2025\\249\\EN_FOLIO 002212.pdf')</v>
      </c>
    </row>
    <row r="86" spans="1:10" x14ac:dyDescent="0.25">
      <c r="A86">
        <v>13</v>
      </c>
      <c r="B86">
        <f>LEN(C86)</f>
        <v>27</v>
      </c>
      <c r="C86" t="s">
        <v>408</v>
      </c>
      <c r="D86" t="s">
        <v>409</v>
      </c>
      <c r="E86" t="s">
        <v>410</v>
      </c>
      <c r="F86" t="str">
        <f>TRIM(MID(D86,1,lastSt1("/",D86))&amp;TRIM(C86))</f>
        <v>Documentos compartidos/peticiones/Escaneo 2025/249/IN_LeyMigración-Art.111.pdf</v>
      </c>
      <c r="G86" t="str">
        <f>TRIM(MID(replaceSt(E86,"\","\\"),1,lastSt1("\",replaceSt(E86,"\","\\")))&amp;TRIM(C86))</f>
        <v>Escaneo 2025\\249\\IN_LeyMigración-Art.111.pdf</v>
      </c>
      <c r="H86" t="str">
        <f>"notFoundFile.append('"&amp;TRIM(C86)&amp;"')"</f>
        <v>notFoundFile.append('IN_LeyMigración-Art.111.pdf')</v>
      </c>
      <c r="I86" t="str">
        <f>"notFoundWeb.append('"&amp;F86&amp;"')"</f>
        <v>notFoundWeb.append('Documentos compartidos/peticiones/Escaneo 2025/249/IN_LeyMigración-Art.111.pdf')</v>
      </c>
      <c r="J86" t="str">
        <f>"notFoundLocal.append('"&amp;G86&amp;"')"</f>
        <v>notFoundLocal.append('Escaneo 2025\\249\\IN_LeyMigración-Art.111.pdf')</v>
      </c>
    </row>
    <row r="87" spans="1:10" x14ac:dyDescent="0.25">
      <c r="A87">
        <v>60</v>
      </c>
      <c r="B87">
        <f>LEN(C87)</f>
        <v>27</v>
      </c>
      <c r="C87" t="s">
        <v>411</v>
      </c>
      <c r="D87" t="s">
        <v>412</v>
      </c>
      <c r="E87" t="s">
        <v>413</v>
      </c>
      <c r="F87" t="str">
        <f>TRIM(MID(D87,1,lastSt1("/",D87))&amp;TRIM(C87))</f>
        <v>Documentos compartidos/peticiones/Escaneo 2025/211/IN_LeyImplAfromexicanas.pdf</v>
      </c>
      <c r="G87" t="str">
        <f>TRIM(MID(replaceSt(E87,"\","\\"),1,lastSt1("\",replaceSt(E87,"\","\\")))&amp;TRIM(C87))</f>
        <v>Escaneo 2025\\211\\IN_LeyImplAfromexicanas.pdf</v>
      </c>
      <c r="H87" t="str">
        <f>"notFoundFile.append('"&amp;TRIM(C87)&amp;"')"</f>
        <v>notFoundFile.append('IN_LeyImplAfromexicanas.pdf')</v>
      </c>
      <c r="I87" t="str">
        <f>"notFoundWeb.append('"&amp;F87&amp;"')"</f>
        <v>notFoundWeb.append('Documentos compartidos/peticiones/Escaneo 2025/211/IN_LeyImplAfromexicanas.pdf')</v>
      </c>
      <c r="J87" t="str">
        <f>"notFoundLocal.append('"&amp;G87&amp;"')"</f>
        <v>notFoundLocal.append('Escaneo 2025\\211\\IN_LeyImplAfromexicanas.pdf')</v>
      </c>
    </row>
    <row r="88" spans="1:10" x14ac:dyDescent="0.25">
      <c r="A88">
        <v>188</v>
      </c>
      <c r="B88">
        <f>LEN(C88)</f>
        <v>26</v>
      </c>
      <c r="C88" t="s">
        <v>414</v>
      </c>
      <c r="D88" t="s">
        <v>415</v>
      </c>
      <c r="E88" t="s">
        <v>416</v>
      </c>
      <c r="F88" t="str">
        <f>TRIM(MID(D88,1,lastSt1("/",D88))&amp;TRIM(C88))</f>
        <v>Documentos compartidos/peticiones/Escaneo 2025/211/RS_O-IPP-211-OFICIO F .pdf</v>
      </c>
      <c r="G88" t="str">
        <f>TRIM(MID(replaceSt(E88,"\","\\"),1,lastSt1("\",replaceSt(E88,"\","\\")))&amp;TRIM(C88))</f>
        <v>Escaneo 2025\\211\\RS_O-IPP-211-OFICIO F .pdf</v>
      </c>
      <c r="H88" t="str">
        <f>"notFoundFile.append('"&amp;TRIM(C88)&amp;"')"</f>
        <v>notFoundFile.append('RS_O-IPP-211-OFICIO F .pdf')</v>
      </c>
      <c r="I88" t="str">
        <f>"notFoundWeb.append('"&amp;F88&amp;"')"</f>
        <v>notFoundWeb.append('Documentos compartidos/peticiones/Escaneo 2025/211/RS_O-IPP-211-OFICIO F .pdf')</v>
      </c>
      <c r="J88" t="str">
        <f>"notFoundLocal.append('"&amp;G88&amp;"')"</f>
        <v>notFoundLocal.append('Escaneo 2025\\211\\RS_O-IPP-211-OFICIO F .pdf')</v>
      </c>
    </row>
    <row r="89" spans="1:10" x14ac:dyDescent="0.25">
      <c r="A89">
        <v>7</v>
      </c>
      <c r="B89">
        <f>LEN(C89)</f>
        <v>19</v>
      </c>
      <c r="C89" t="s">
        <v>94</v>
      </c>
      <c r="D89" t="s">
        <v>95</v>
      </c>
      <c r="E89" t="s">
        <v>96</v>
      </c>
      <c r="F89" t="str">
        <f>TRIM(MID(D89,1,lastSt1("/",D89))&amp;TRIM(C89))</f>
        <v>Documentos compartidos/peticiones/Escaneo 2025/211/EN_FOLIO 002179.pdf</v>
      </c>
      <c r="G89" t="str">
        <f>TRIM(MID(replaceSt(E89,"\","\\"),1,lastSt1("\",replaceSt(E89,"\","\\")))&amp;TRIM(C89))</f>
        <v>Escaneo 2025\\211\\EN_FOLIO 002179.pdf</v>
      </c>
      <c r="H89" t="str">
        <f>"notFoundFile.append('"&amp;TRIM(C89)&amp;"')"</f>
        <v>notFoundFile.append('EN_FOLIO 002179.pdf')</v>
      </c>
      <c r="I89" t="str">
        <f>"notFoundWeb.append('"&amp;F89&amp;"')"</f>
        <v>notFoundWeb.append('Documentos compartidos/peticiones/Escaneo 2025/211/EN_FOLIO 002179.pdf')</v>
      </c>
      <c r="J89" t="str">
        <f>"notFoundLocal.append('"&amp;G89&amp;"')"</f>
        <v>notFoundLocal.append('Escaneo 2025\\211\\EN_FOLIO 002179.pdf')</v>
      </c>
    </row>
    <row r="90" spans="1:10" x14ac:dyDescent="0.25">
      <c r="A90">
        <v>223</v>
      </c>
      <c r="B90">
        <f>LEN(C90)</f>
        <v>26</v>
      </c>
      <c r="C90" t="s">
        <v>417</v>
      </c>
      <c r="D90" t="s">
        <v>418</v>
      </c>
      <c r="E90" t="s">
        <v>419</v>
      </c>
      <c r="F90" t="str">
        <f>TRIM(MID(D90,1,lastSt1("/",D90))&amp;TRIM(C90))</f>
        <v>Documentos compartidos/peticiones/Escaneo 2025/211/RS_O-IPP-211-eq-025-7.docx</v>
      </c>
      <c r="G90" t="str">
        <f>TRIM(MID(replaceSt(E90,"\","\\"),1,lastSt1("\",replaceSt(E90,"\","\\")))&amp;TRIM(C90))</f>
        <v>Escaneo 2025\\211\\RS_O-IPP-211-eq-025-7.docx</v>
      </c>
      <c r="H90" t="str">
        <f>"notFoundFile.append('"&amp;TRIM(C90)&amp;"')"</f>
        <v>notFoundFile.append('RS_O-IPP-211-eq-025-7.docx')</v>
      </c>
      <c r="I90" t="str">
        <f>"notFoundWeb.append('"&amp;F90&amp;"')"</f>
        <v>notFoundWeb.append('Documentos compartidos/peticiones/Escaneo 2025/211/RS_O-IPP-211-eq-025-7.docx')</v>
      </c>
      <c r="J90" t="str">
        <f>"notFoundLocal.append('"&amp;G90&amp;"')"</f>
        <v>notFoundLocal.append('Escaneo 2025\\211\\RS_O-IPP-211-eq-025-7.docx')</v>
      </c>
    </row>
    <row r="91" spans="1:10" x14ac:dyDescent="0.25">
      <c r="A91">
        <v>240</v>
      </c>
      <c r="B91">
        <f>LEN(C91)</f>
        <v>33</v>
      </c>
      <c r="C91" t="s">
        <v>420</v>
      </c>
      <c r="D91" t="s">
        <v>421</v>
      </c>
      <c r="E91" t="s">
        <v>422</v>
      </c>
      <c r="F91" t="str">
        <f>TRIM(MID(D91,1,lastSt1("/",D91))&amp;TRIM(C91))</f>
        <v>Documentos compartidos/peticiones/Escaneo 2025/192/RS_IFO-192-GposVul-2019-2025.docx</v>
      </c>
      <c r="G91" t="str">
        <f>TRIM(MID(replaceSt(E91,"\","\\"),1,lastSt1("\",replaceSt(E91,"\","\\")))&amp;TRIM(C91))</f>
        <v>Escaneo 2025\\192\\RS_IFO-192-GposVul-2019-2025.docx</v>
      </c>
      <c r="H91" t="str">
        <f>"notFoundFile.append('"&amp;TRIM(C91)&amp;"')"</f>
        <v>notFoundFile.append('RS_IFO-192-GposVul-2019-2025.docx')</v>
      </c>
      <c r="I91" t="str">
        <f>"notFoundWeb.append('"&amp;F91&amp;"')"</f>
        <v>notFoundWeb.append('Documentos compartidos/peticiones/Escaneo 2025/192/RS_IFO-192-GposVul-2019-2025.docx')</v>
      </c>
      <c r="J91" t="str">
        <f>"notFoundLocal.append('"&amp;G91&amp;"')"</f>
        <v>notFoundLocal.append('Escaneo 2025\\192\\RS_IFO-192-GposVul-2019-2025.docx')</v>
      </c>
    </row>
    <row r="92" spans="1:10" x14ac:dyDescent="0.25">
      <c r="A92">
        <v>151</v>
      </c>
      <c r="B92">
        <f>LEN(C92)</f>
        <v>25</v>
      </c>
      <c r="C92" t="s">
        <v>423</v>
      </c>
      <c r="D92" t="s">
        <v>424</v>
      </c>
      <c r="E92" t="s">
        <v>425</v>
      </c>
      <c r="F92" t="str">
        <f>TRIM(MID(D92,1,lastSt1("/",D92))&amp;TRIM(C92))</f>
        <v>Documentos compartidos/peticiones/Escaneo 2025/192/RS_O-IFO-192-OFICIO F.pdf</v>
      </c>
      <c r="G92" t="str">
        <f>TRIM(MID(replaceSt(E92,"\","\\"),1,lastSt1("\",replaceSt(E92,"\","\\")))&amp;TRIM(C92))</f>
        <v>Escaneo 2025\\192\\RS_O-IFO-192-OFICIO F.pdf</v>
      </c>
      <c r="H92" t="str">
        <f>"notFoundFile.append('"&amp;TRIM(C92)&amp;"')"</f>
        <v>notFoundFile.append('RS_O-IFO-192-OFICIO F.pdf')</v>
      </c>
      <c r="I92" t="str">
        <f>"notFoundWeb.append('"&amp;F92&amp;"')"</f>
        <v>notFoundWeb.append('Documentos compartidos/peticiones/Escaneo 2025/192/RS_O-IFO-192-OFICIO F.pdf')</v>
      </c>
      <c r="J92" t="str">
        <f>"notFoundLocal.append('"&amp;G92&amp;"')"</f>
        <v>notFoundLocal.append('Escaneo 2025\\192\\RS_O-IFO-192-OFICIO F.pdf')</v>
      </c>
    </row>
    <row r="93" spans="1:10" x14ac:dyDescent="0.25">
      <c r="A93">
        <v>175</v>
      </c>
      <c r="B93">
        <f>LEN(C93)</f>
        <v>22</v>
      </c>
      <c r="C93" t="s">
        <v>97</v>
      </c>
      <c r="D93" t="s">
        <v>98</v>
      </c>
      <c r="E93" t="s">
        <v>99</v>
      </c>
      <c r="F93" t="str">
        <f>TRIM(MID(D93,1,lastSt1("/",D93))&amp;TRIM(C93))</f>
        <v>Documentos compartidos/peticiones/Escaneo 2025/192/VL_RS IFO 192-2025.pdf</v>
      </c>
      <c r="G93" t="str">
        <f>TRIM(MID(replaceSt(E93,"\","\\"),1,lastSt1("\",replaceSt(E93,"\","\\")))&amp;TRIM(C93))</f>
        <v>Escaneo 2025\\192\\VL_RS IFO 192-2025.pdf</v>
      </c>
      <c r="H93" t="str">
        <f>"notFoundFile.append('"&amp;TRIM(C93)&amp;"')"</f>
        <v>notFoundFile.append('VL_RS IFO 192-2025.pdf')</v>
      </c>
      <c r="I93" t="str">
        <f>"notFoundWeb.append('"&amp;F93&amp;"')"</f>
        <v>notFoundWeb.append('Documentos compartidos/peticiones/Escaneo 2025/192/VL_RS IFO 192-2025.pdf')</v>
      </c>
      <c r="J93" t="str">
        <f>"notFoundLocal.append('"&amp;G93&amp;"')"</f>
        <v>notFoundLocal.append('Escaneo 2025\\192\\VL_RS IFO 192-2025.pdf')</v>
      </c>
    </row>
    <row r="94" spans="1:10" x14ac:dyDescent="0.25">
      <c r="A94">
        <v>73</v>
      </c>
      <c r="B94">
        <f>LEN(C94)</f>
        <v>28</v>
      </c>
      <c r="C94" t="s">
        <v>426</v>
      </c>
      <c r="D94" t="s">
        <v>427</v>
      </c>
      <c r="E94" t="s">
        <v>428</v>
      </c>
      <c r="F94" t="str">
        <f>TRIM(MID(D94,1,lastSt1("/",D94))&amp;TRIM(C94))</f>
        <v>Documentos compartidos/peticiones/Escaneo 2025/193/WK_6oInfGob-2024-InclLab.pdf</v>
      </c>
      <c r="G94" t="str">
        <f>TRIM(MID(replaceSt(E94,"\","\\"),1,lastSt1("\",replaceSt(E94,"\","\\")))&amp;TRIM(C94))</f>
        <v>Escaneo 2025\\193\\WK_6oInfGob-2024-InclLab.pdf</v>
      </c>
      <c r="H94" t="str">
        <f>"notFoundFile.append('"&amp;TRIM(C94)&amp;"')"</f>
        <v>notFoundFile.append('WK_6oInfGob-2024-InclLab.pdf')</v>
      </c>
      <c r="I94" t="str">
        <f>"notFoundWeb.append('"&amp;F94&amp;"')"</f>
        <v>notFoundWeb.append('Documentos compartidos/peticiones/Escaneo 2025/193/WK_6oInfGob-2024-InclLab.pdf')</v>
      </c>
      <c r="J94" t="str">
        <f>"notFoundLocal.append('"&amp;G94&amp;"')"</f>
        <v>notFoundLocal.append('Escaneo 2025\\193\\WK_6oInfGob-2024-InclLab.pdf')</v>
      </c>
    </row>
    <row r="95" spans="1:10" x14ac:dyDescent="0.25">
      <c r="A95">
        <v>61</v>
      </c>
      <c r="B95">
        <f>LEN(C95)</f>
        <v>24</v>
      </c>
      <c r="C95" t="s">
        <v>100</v>
      </c>
      <c r="D95" t="s">
        <v>101</v>
      </c>
      <c r="E95" t="s">
        <v>102</v>
      </c>
      <c r="F95" t="str">
        <f>TRIM(MID(D95,1,lastSt1("/",D95))&amp;TRIM(C95))</f>
        <v>Documentos compartidos/peticiones/Escaneo 2025/193/WK_ENOE STPS_cuadros.xls</v>
      </c>
      <c r="G95" t="str">
        <f>TRIM(MID(replaceSt(E95,"\","\\"),1,lastSt1("\",replaceSt(E95,"\","\\")))&amp;TRIM(C95))</f>
        <v>Escaneo 2025\\193\\WK_ENOE STPS_cuadros.xls</v>
      </c>
      <c r="H95" t="str">
        <f>"notFoundFile.append('"&amp;TRIM(C95)&amp;"')"</f>
        <v>notFoundFile.append('WK_ENOE STPS_cuadros.xls')</v>
      </c>
      <c r="I95" t="str">
        <f>"notFoundWeb.append('"&amp;F95&amp;"')"</f>
        <v>notFoundWeb.append('Documentos compartidos/peticiones/Escaneo 2025/193/WK_ENOE STPS_cuadros.xls')</v>
      </c>
      <c r="J95" t="str">
        <f>"notFoundLocal.append('"&amp;G95&amp;"')"</f>
        <v>notFoundLocal.append('Escaneo 2025\\193\\WK_ENOE STPS_cuadros.xls')</v>
      </c>
    </row>
    <row r="96" spans="1:10" x14ac:dyDescent="0.25">
      <c r="A96">
        <v>44</v>
      </c>
      <c r="B96">
        <f>LEN(C96)</f>
        <v>27</v>
      </c>
      <c r="C96" t="s">
        <v>429</v>
      </c>
      <c r="D96" t="s">
        <v>430</v>
      </c>
      <c r="E96" t="s">
        <v>431</v>
      </c>
      <c r="F96" t="str">
        <f>TRIM(MID(D96,1,lastSt1("/",D96))&amp;TRIM(C96))</f>
        <v>Documentos compartidos/peticiones/Escaneo 2025/193/WK_PRONAIND-Avances2024.pdf</v>
      </c>
      <c r="G96" t="str">
        <f>TRIM(MID(replaceSt(E96,"\","\\"),1,lastSt1("\",replaceSt(E96,"\","\\")))&amp;TRIM(C96))</f>
        <v>Escaneo 2025\\193\\WK_PRONAIND-Avances2024.pdf</v>
      </c>
      <c r="H96" t="str">
        <f>"notFoundFile.append('"&amp;TRIM(C96)&amp;"')"</f>
        <v>notFoundFile.append('WK_PRONAIND-Avances2024.pdf')</v>
      </c>
      <c r="I96" t="str">
        <f>"notFoundWeb.append('"&amp;F96&amp;"')"</f>
        <v>notFoundWeb.append('Documentos compartidos/peticiones/Escaneo 2025/193/WK_PRONAIND-Avances2024.pdf')</v>
      </c>
      <c r="J96" t="str">
        <f>"notFoundLocal.append('"&amp;G96&amp;"')"</f>
        <v>notFoundLocal.append('Escaneo 2025\\193\\WK_PRONAIND-Avances2024.pdf')</v>
      </c>
    </row>
    <row r="97" spans="1:10" x14ac:dyDescent="0.25">
      <c r="A97">
        <v>102</v>
      </c>
      <c r="B97">
        <f>LEN(C97)</f>
        <v>18</v>
      </c>
      <c r="C97" t="s">
        <v>103</v>
      </c>
      <c r="D97" t="s">
        <v>104</v>
      </c>
      <c r="E97" t="s">
        <v>105</v>
      </c>
      <c r="F97" t="str">
        <f>TRIM(MID(D97,1,lastSt1("/",D97))&amp;TRIM(C97))</f>
        <v>Documentos compartidos/peticiones/Escaneo 2025/193/VL_RS IFO 193.docx</v>
      </c>
      <c r="G97" t="str">
        <f>TRIM(MID(replaceSt(E97,"\","\\"),1,lastSt1("\",replaceSt(E97,"\","\\")))&amp;TRIM(C97))</f>
        <v>Escaneo 2025\\193\\VL_RS IFO 193.docx</v>
      </c>
      <c r="H97" t="str">
        <f>"notFoundFile.append('"&amp;TRIM(C97)&amp;"')"</f>
        <v>notFoundFile.append('VL_RS IFO 193.docx')</v>
      </c>
      <c r="I97" t="str">
        <f>"notFoundWeb.append('"&amp;F97&amp;"')"</f>
        <v>notFoundWeb.append('Documentos compartidos/peticiones/Escaneo 2025/193/VL_RS IFO 193.docx')</v>
      </c>
      <c r="J97" t="str">
        <f>"notFoundLocal.append('"&amp;G97&amp;"')"</f>
        <v>notFoundLocal.append('Escaneo 2025\\193\\VL_RS IFO 193.docx')</v>
      </c>
    </row>
    <row r="98" spans="1:10" x14ac:dyDescent="0.25">
      <c r="A98">
        <v>30</v>
      </c>
      <c r="B98">
        <f>LEN(C98)</f>
        <v>36</v>
      </c>
      <c r="C98" t="s">
        <v>252</v>
      </c>
      <c r="D98" t="s">
        <v>432</v>
      </c>
      <c r="E98" t="s">
        <v>433</v>
      </c>
      <c r="F98" t="str">
        <f>TRIM(MID(D98,1,lastSt1("/",D98))&amp;TRIM(C98))</f>
        <v>Documentos compartidos/peticiones/Escaneo 2025/058/RS_IPP-058-LeyGralEqEcolProtAmb.docx</v>
      </c>
      <c r="G98" t="str">
        <f>TRIM(MID(replaceSt(E98,"\","\\"),1,lastSt1("\",replaceSt(E98,"\","\\")))&amp;TRIM(C98))</f>
        <v>Escaneo 2025\\058\\RS_IPP-058-LeyGralEqEcolProtAmb.docx</v>
      </c>
      <c r="H98" t="str">
        <f>"notFoundFile.append('"&amp;TRIM(C98)&amp;"')"</f>
        <v>notFoundFile.append('RS_IPP-058-LeyGralEqEcolProtAmb.docx')</v>
      </c>
      <c r="I98" t="str">
        <f>"notFoundWeb.append('"&amp;F98&amp;"')"</f>
        <v>notFoundWeb.append('Documentos compartidos/peticiones/Escaneo 2025/058/RS_IPP-058-LeyGralEqEcolProtAmb.docx')</v>
      </c>
      <c r="J98" t="str">
        <f>"notFoundLocal.append('"&amp;G98&amp;"')"</f>
        <v>notFoundLocal.append('Escaneo 2025\\058\\RS_IPP-058-LeyGralEqEcolProtAmb.docx')</v>
      </c>
    </row>
    <row r="99" spans="1:10" x14ac:dyDescent="0.25">
      <c r="A99">
        <v>224</v>
      </c>
      <c r="B99">
        <f>LEN(C99)</f>
        <v>25</v>
      </c>
      <c r="C99" t="s">
        <v>434</v>
      </c>
      <c r="D99" t="s">
        <v>435</v>
      </c>
      <c r="E99" t="s">
        <v>436</v>
      </c>
      <c r="F99" t="str">
        <f>TRIM(MID(D99,1,lastSt1("/",D99))&amp;TRIM(C99))</f>
        <v>Documentos compartidos/peticiones/Escaneo 2025/125/RS_O-IPP-125-OFICIO F.pdf</v>
      </c>
      <c r="G99" t="str">
        <f>TRIM(MID(replaceSt(E99,"\","\\"),1,lastSt1("\",replaceSt(E99,"\","\\")))&amp;TRIM(C99))</f>
        <v>Escaneo 2025\\125\\RS_O-IPP-125-OFICIO F.pdf</v>
      </c>
      <c r="H99" t="str">
        <f>"notFoundFile.append('"&amp;TRIM(C99)&amp;"')"</f>
        <v>notFoundFile.append('RS_O-IPP-125-OFICIO F.pdf')</v>
      </c>
      <c r="I99" t="str">
        <f>"notFoundWeb.append('"&amp;F99&amp;"')"</f>
        <v>notFoundWeb.append('Documentos compartidos/peticiones/Escaneo 2025/125/RS_O-IPP-125-OFICIO F.pdf')</v>
      </c>
      <c r="J99" t="str">
        <f>"notFoundLocal.append('"&amp;G99&amp;"')"</f>
        <v>notFoundLocal.append('Escaneo 2025\\125\\RS_O-IPP-125-OFICIO F.pdf')</v>
      </c>
    </row>
    <row r="100" spans="1:10" x14ac:dyDescent="0.25">
      <c r="A100">
        <v>212</v>
      </c>
      <c r="B100">
        <f>LEN(C100)</f>
        <v>20</v>
      </c>
      <c r="C100" t="s">
        <v>437</v>
      </c>
      <c r="D100" t="s">
        <v>438</v>
      </c>
      <c r="E100" t="s">
        <v>439</v>
      </c>
      <c r="F100" t="str">
        <f>TRIM(MID(D100,1,lastSt1("/",D100))&amp;TRIM(C100))</f>
        <v>Documentos compartidos/peticiones/Escaneo 2025/042/15/VL_IPP-042.15-MA.pdf</v>
      </c>
      <c r="G100" t="str">
        <f>TRIM(MID(replaceSt(E100,"\","\\"),1,lastSt1("\",replaceSt(E100,"\","\\")))&amp;TRIM(C100))</f>
        <v>Escaneo 2025\\042\\15\\VL_IPP-042.15-MA.pdf</v>
      </c>
      <c r="H100" t="str">
        <f>"notFoundFile.append('"&amp;TRIM(C100)&amp;"')"</f>
        <v>notFoundFile.append('VL_IPP-042.15-MA.pdf')</v>
      </c>
      <c r="I100" t="str">
        <f>"notFoundWeb.append('"&amp;F100&amp;"')"</f>
        <v>notFoundWeb.append('Documentos compartidos/peticiones/Escaneo 2025/042/15/VL_IPP-042.15-MA.pdf')</v>
      </c>
      <c r="J100" t="str">
        <f>"notFoundLocal.append('"&amp;G100&amp;"')"</f>
        <v>notFoundLocal.append('Escaneo 2025\\042\\15\\VL_IPP-042.15-MA.pdf')</v>
      </c>
    </row>
    <row r="101" spans="1:10" x14ac:dyDescent="0.25">
      <c r="A101">
        <v>154</v>
      </c>
      <c r="B101">
        <f>LEN(C101)</f>
        <v>28</v>
      </c>
      <c r="C101" t="s">
        <v>440</v>
      </c>
      <c r="D101" t="s">
        <v>441</v>
      </c>
      <c r="E101" t="s">
        <v>442</v>
      </c>
      <c r="F101" t="str">
        <f>TRIM(MID(D101,1,lastSt1("/",D101))&amp;TRIM(C101))</f>
        <v>Documentos compartidos/peticiones/Escaneo 2025/042/15/RS_O-IPP-042.15-OFICIO F.pdf</v>
      </c>
      <c r="G101" t="str">
        <f>TRIM(MID(replaceSt(E101,"\","\\"),1,lastSt1("\",replaceSt(E101,"\","\\")))&amp;TRIM(C101))</f>
        <v>Escaneo 2025\\042\\15\\RS_O-IPP-042.15-OFICIO F.pdf</v>
      </c>
      <c r="H101" t="str">
        <f>"notFoundFile.append('"&amp;TRIM(C101)&amp;"')"</f>
        <v>notFoundFile.append('RS_O-IPP-042.15-OFICIO F.pdf')</v>
      </c>
      <c r="I101" t="str">
        <f>"notFoundWeb.append('"&amp;F101&amp;"')"</f>
        <v>notFoundWeb.append('Documentos compartidos/peticiones/Escaneo 2025/042/15/RS_O-IPP-042.15-OFICIO F.pdf')</v>
      </c>
      <c r="J101" t="str">
        <f>"notFoundLocal.append('"&amp;G101&amp;"')"</f>
        <v>notFoundLocal.append('Escaneo 2025\\042\\15\\RS_O-IPP-042.15-OFICIO F.pdf')</v>
      </c>
    </row>
    <row r="102" spans="1:10" x14ac:dyDescent="0.25">
      <c r="A102">
        <v>225</v>
      </c>
      <c r="B102">
        <f>LEN(C102)</f>
        <v>27</v>
      </c>
      <c r="C102" t="s">
        <v>443</v>
      </c>
      <c r="D102" t="s">
        <v>444</v>
      </c>
      <c r="E102" t="s">
        <v>445</v>
      </c>
      <c r="F102" t="str">
        <f>TRIM(MID(D102,1,lastSt1("/",D102))&amp;TRIM(C102))</f>
        <v>Documentos compartidos/peticiones/Escaneo 2025/042/5/RS_O-IPP-042.5-OFICIO F.pdf</v>
      </c>
      <c r="G102" t="str">
        <f>TRIM(MID(replaceSt(E102,"\","\\"),1,lastSt1("\",replaceSt(E102,"\","\\")))&amp;TRIM(C102))</f>
        <v>Escaneo 2025\\042\\5\\RS_O-IPP-042.5-OFICIO F.pdf</v>
      </c>
      <c r="H102" t="str">
        <f>"notFoundFile.append('"&amp;TRIM(C102)&amp;"')"</f>
        <v>notFoundFile.append('RS_O-IPP-042.5-OFICIO F.pdf')</v>
      </c>
      <c r="I102" t="str">
        <f>"notFoundWeb.append('"&amp;F102&amp;"')"</f>
        <v>notFoundWeb.append('Documentos compartidos/peticiones/Escaneo 2025/042/5/RS_O-IPP-042.5-OFICIO F.pdf')</v>
      </c>
      <c r="J102" t="str">
        <f>"notFoundLocal.append('"&amp;G102&amp;"')"</f>
        <v>notFoundLocal.append('Escaneo 2025\\042\\5\\RS_O-IPP-042.5-OFICIO F.pdf')</v>
      </c>
    </row>
    <row r="103" spans="1:10" x14ac:dyDescent="0.25">
      <c r="A103">
        <v>262</v>
      </c>
      <c r="B103">
        <f>LEN(C103)</f>
        <v>25</v>
      </c>
      <c r="C103" t="s">
        <v>446</v>
      </c>
      <c r="D103" t="s">
        <v>447</v>
      </c>
      <c r="E103" t="s">
        <v>448</v>
      </c>
      <c r="F103" t="str">
        <f>TRIM(MID(D103,1,lastSt1("/",D103))&amp;TRIM(C103))</f>
        <v>Documentos compartidos/peticiones/Escaneo 2025/176/RS_O-IPP-176-OFICIO F.pdf</v>
      </c>
      <c r="G103" t="str">
        <f>TRIM(MID(replaceSt(E103,"\","\\"),1,lastSt1("\",replaceSt(E103,"\","\\")))&amp;TRIM(C103))</f>
        <v>Escaneo 2025\\176\\RS_O-IPP-176-OFICIO F.pdf</v>
      </c>
      <c r="H103" t="str">
        <f>"notFoundFile.append('"&amp;TRIM(C103)&amp;"')"</f>
        <v>notFoundFile.append('RS_O-IPP-176-OFICIO F.pdf')</v>
      </c>
      <c r="I103" t="str">
        <f>"notFoundWeb.append('"&amp;F103&amp;"')"</f>
        <v>notFoundWeb.append('Documentos compartidos/peticiones/Escaneo 2025/176/RS_O-IPP-176-OFICIO F.pdf')</v>
      </c>
      <c r="J103" t="str">
        <f>"notFoundLocal.append('"&amp;G103&amp;"')"</f>
        <v>notFoundLocal.append('Escaneo 2025\\176\\RS_O-IPP-176-OFICIO F.pdf')</v>
      </c>
    </row>
    <row r="104" spans="1:10" x14ac:dyDescent="0.25">
      <c r="A104">
        <v>86</v>
      </c>
      <c r="B104">
        <f>LEN(C104)</f>
        <v>25</v>
      </c>
      <c r="C104" t="s">
        <v>449</v>
      </c>
      <c r="D104" t="s">
        <v>450</v>
      </c>
      <c r="E104" t="s">
        <v>451</v>
      </c>
      <c r="F104" t="str">
        <f>TRIM(MID(D104,1,lastSt1("/",D104))&amp;TRIM(C104))</f>
        <v>Documentos compartidos/peticiones/Escaneo 2025/127/RS_O-IPP-127-OFICIO F.pdf</v>
      </c>
      <c r="G104" t="str">
        <f>TRIM(MID(replaceSt(E104,"\","\\"),1,lastSt1("\",replaceSt(E104,"\","\\")))&amp;TRIM(C104))</f>
        <v>Escaneo 2025\\127\\RS_O-IPP-127-OFICIO F.pdf</v>
      </c>
      <c r="H104" t="str">
        <f>"notFoundFile.append('"&amp;TRIM(C104)&amp;"')"</f>
        <v>notFoundFile.append('RS_O-IPP-127-OFICIO F.pdf')</v>
      </c>
      <c r="I104" t="str">
        <f>"notFoundWeb.append('"&amp;F104&amp;"')"</f>
        <v>notFoundWeb.append('Documentos compartidos/peticiones/Escaneo 2025/127/RS_O-IPP-127-OFICIO F.pdf')</v>
      </c>
      <c r="J104" t="str">
        <f>"notFoundLocal.append('"&amp;G104&amp;"')"</f>
        <v>notFoundLocal.append('Escaneo 2025\\127\\RS_O-IPP-127-OFICIO F.pdf')</v>
      </c>
    </row>
    <row r="105" spans="1:10" x14ac:dyDescent="0.25">
      <c r="A105">
        <v>160</v>
      </c>
      <c r="B105">
        <f>LEN(C105)</f>
        <v>28</v>
      </c>
      <c r="C105" t="s">
        <v>452</v>
      </c>
      <c r="D105" t="s">
        <v>453</v>
      </c>
      <c r="E105" t="s">
        <v>454</v>
      </c>
      <c r="F105" t="str">
        <f>TRIM(MID(D105,1,lastSt1("/",D105))&amp;TRIM(C105))</f>
        <v>Documentos compartidos/peticiones/Escaneo 2025/199/RS_O-IPP-199-OFICIO F-M1.pdf</v>
      </c>
      <c r="G105" t="str">
        <f>TRIM(MID(replaceSt(E105,"\","\\"),1,lastSt1("\",replaceSt(E105,"\","\\")))&amp;TRIM(C105))</f>
        <v>Escaneo 2025\\199\\RS_O-IPP-199-OFICIO F-M1.pdf</v>
      </c>
      <c r="H105" t="str">
        <f>"notFoundFile.append('"&amp;TRIM(C105)&amp;"')"</f>
        <v>notFoundFile.append('RS_O-IPP-199-OFICIO F-M1.pdf')</v>
      </c>
      <c r="I105" t="str">
        <f>"notFoundWeb.append('"&amp;F105&amp;"')"</f>
        <v>notFoundWeb.append('Documentos compartidos/peticiones/Escaneo 2025/199/RS_O-IPP-199-OFICIO F-M1.pdf')</v>
      </c>
      <c r="J105" t="str">
        <f>"notFoundLocal.append('"&amp;G105&amp;"')"</f>
        <v>notFoundLocal.append('Escaneo 2025\\199\\RS_O-IPP-199-OFICIO F-M1.pdf')</v>
      </c>
    </row>
    <row r="106" spans="1:10" x14ac:dyDescent="0.25">
      <c r="A106">
        <v>18</v>
      </c>
      <c r="B106">
        <f>LEN(C106)</f>
        <v>25</v>
      </c>
      <c r="C106" t="s">
        <v>455</v>
      </c>
      <c r="D106" t="s">
        <v>456</v>
      </c>
      <c r="E106" t="s">
        <v>457</v>
      </c>
      <c r="F106" t="str">
        <f>TRIM(MID(D106,1,lastSt1("/",D106))&amp;TRIM(C106))</f>
        <v>Documentos compartidos/peticiones/Escaneo 2025/199/RS_O-IPP-199-OFICIO F.pdf</v>
      </c>
      <c r="G106" t="str">
        <f>TRIM(MID(replaceSt(E106,"\","\\"),1,lastSt1("\",replaceSt(E106,"\","\\")))&amp;TRIM(C106))</f>
        <v>Escaneo 2025\\199\\RS_O-IPP-199-OFICIO F.pdf</v>
      </c>
      <c r="H106" t="str">
        <f>"notFoundFile.append('"&amp;TRIM(C106)&amp;"')"</f>
        <v>notFoundFile.append('RS_O-IPP-199-OFICIO F.pdf')</v>
      </c>
      <c r="I106" t="str">
        <f>"notFoundWeb.append('"&amp;F106&amp;"')"</f>
        <v>notFoundWeb.append('Documentos compartidos/peticiones/Escaneo 2025/199/RS_O-IPP-199-OFICIO F.pdf')</v>
      </c>
      <c r="J106" t="str">
        <f>"notFoundLocal.append('"&amp;G106&amp;"')"</f>
        <v>notFoundLocal.append('Escaneo 2025\\199\\RS_O-IPP-199-OFICIO F.pdf')</v>
      </c>
    </row>
    <row r="107" spans="1:10" x14ac:dyDescent="0.25">
      <c r="A107">
        <v>64</v>
      </c>
      <c r="B107">
        <f>LEN(C107)</f>
        <v>25</v>
      </c>
      <c r="C107" t="s">
        <v>458</v>
      </c>
      <c r="D107" t="s">
        <v>459</v>
      </c>
      <c r="E107" t="s">
        <v>460</v>
      </c>
      <c r="F107" t="str">
        <f>TRIM(MID(D107,1,lastSt1("/",D107))&amp;TRIM(C107))</f>
        <v>Documentos compartidos/peticiones/Escaneo 2025/155/RS_O-IPP-155-OFICIO F.pdf</v>
      </c>
      <c r="G107" t="str">
        <f>TRIM(MID(replaceSt(E107,"\","\\"),1,lastSt1("\",replaceSt(E107,"\","\\")))&amp;TRIM(C107))</f>
        <v>Escaneo 2025\\155\\RS_O-IPP-155-OFICIO F.pdf</v>
      </c>
      <c r="H107" t="str">
        <f>"notFoundFile.append('"&amp;TRIM(C107)&amp;"')"</f>
        <v>notFoundFile.append('RS_O-IPP-155-OFICIO F.pdf')</v>
      </c>
      <c r="I107" t="str">
        <f>"notFoundWeb.append('"&amp;F107&amp;"')"</f>
        <v>notFoundWeb.append('Documentos compartidos/peticiones/Escaneo 2025/155/RS_O-IPP-155-OFICIO F.pdf')</v>
      </c>
      <c r="J107" t="str">
        <f>"notFoundLocal.append('"&amp;G107&amp;"')"</f>
        <v>notFoundLocal.append('Escaneo 2025\\155\\RS_O-IPP-155-OFICIO F.pdf')</v>
      </c>
    </row>
    <row r="108" spans="1:10" x14ac:dyDescent="0.25">
      <c r="A108">
        <v>119</v>
      </c>
      <c r="B108">
        <f>LEN(C108)</f>
        <v>17</v>
      </c>
      <c r="C108" t="s">
        <v>461</v>
      </c>
      <c r="D108" t="s">
        <v>462</v>
      </c>
      <c r="E108" t="s">
        <v>463</v>
      </c>
      <c r="F108" t="str">
        <f>TRIM(MID(D108,1,lastSt1("/",D108))&amp;TRIM(C108))</f>
        <v>Documentos compartidos/peticiones/Escaneo 2025/155/VL_IPP-155-MA.pdf</v>
      </c>
      <c r="G108" t="str">
        <f>TRIM(MID(replaceSt(E108,"\","\\"),1,lastSt1("\",replaceSt(E108,"\","\\")))&amp;TRIM(C108))</f>
        <v>Escaneo 2025\\155\\VL_IPP-155-MA.pdf</v>
      </c>
      <c r="H108" t="str">
        <f>"notFoundFile.append('"&amp;TRIM(C108)&amp;"')"</f>
        <v>notFoundFile.append('VL_IPP-155-MA.pdf')</v>
      </c>
      <c r="I108" t="str">
        <f>"notFoundWeb.append('"&amp;F108&amp;"')"</f>
        <v>notFoundWeb.append('Documentos compartidos/peticiones/Escaneo 2025/155/VL_IPP-155-MA.pdf')</v>
      </c>
      <c r="J108" t="str">
        <f>"notFoundLocal.append('"&amp;G108&amp;"')"</f>
        <v>notFoundLocal.append('Escaneo 2025\\155\\VL_IPP-155-MA.pdf')</v>
      </c>
    </row>
    <row r="109" spans="1:10" x14ac:dyDescent="0.25">
      <c r="A109">
        <v>133</v>
      </c>
      <c r="B109">
        <f>LEN(C109)</f>
        <v>19</v>
      </c>
      <c r="C109" t="s">
        <v>106</v>
      </c>
      <c r="D109" t="s">
        <v>107</v>
      </c>
      <c r="E109" t="s">
        <v>108</v>
      </c>
      <c r="F109" t="str">
        <f>TRIM(MID(D109,1,lastSt1("/",D109))&amp;TRIM(C109))</f>
        <v>Documentos compartidos/peticiones/Escaneo 2025/214/EN_FOLIO 002182.pdf</v>
      </c>
      <c r="G109" t="str">
        <f>TRIM(MID(replaceSt(E109,"\","\\"),1,lastSt1("\",replaceSt(E109,"\","\\")))&amp;TRIM(C109))</f>
        <v>Escaneo 2025\\214\\EN_FOLIO 002182.pdf</v>
      </c>
      <c r="H109" t="str">
        <f>"notFoundFile.append('"&amp;TRIM(C109)&amp;"')"</f>
        <v>notFoundFile.append('EN_FOLIO 002182.pdf')</v>
      </c>
      <c r="I109" t="str">
        <f>"notFoundWeb.append('"&amp;F109&amp;"')"</f>
        <v>notFoundWeb.append('Documentos compartidos/peticiones/Escaneo 2025/214/EN_FOLIO 002182.pdf')</v>
      </c>
      <c r="J109" t="str">
        <f>"notFoundLocal.append('"&amp;G109&amp;"')"</f>
        <v>notFoundLocal.append('Escaneo 2025\\214\\EN_FOLIO 002182.pdf')</v>
      </c>
    </row>
    <row r="110" spans="1:10" x14ac:dyDescent="0.25">
      <c r="A110">
        <v>237</v>
      </c>
      <c r="B110">
        <f>LEN(C110)</f>
        <v>38</v>
      </c>
      <c r="C110" t="s">
        <v>464</v>
      </c>
      <c r="D110" t="s">
        <v>465</v>
      </c>
      <c r="E110" t="s">
        <v>466</v>
      </c>
      <c r="F110" t="str">
        <f>TRIM(MID(D110,1,lastSt1("/",D110))&amp;TRIM(C110))</f>
        <v>Documentos compartidos/peticiones/Escaneo 2025/214/IN_LeyJustPenal-Adolesc-Art145y164.pdf</v>
      </c>
      <c r="G110" t="str">
        <f>TRIM(MID(replaceSt(E110,"\","\\"),1,lastSt1("\",replaceSt(E110,"\","\\")))&amp;TRIM(C110))</f>
        <v>Escaneo 2025\\214\\IN_LeyJustPenal-Adolesc-Art145y164.pdf</v>
      </c>
      <c r="H110" t="str">
        <f>"notFoundFile.append('"&amp;TRIM(C110)&amp;"')"</f>
        <v>notFoundFile.append('IN_LeyJustPenal-Adolesc-Art145y164.pdf')</v>
      </c>
      <c r="I110" t="str">
        <f>"notFoundWeb.append('"&amp;F110&amp;"')"</f>
        <v>notFoundWeb.append('Documentos compartidos/peticiones/Escaneo 2025/214/IN_LeyJustPenal-Adolesc-Art145y164.pdf')</v>
      </c>
      <c r="J110" t="str">
        <f>"notFoundLocal.append('"&amp;G110&amp;"')"</f>
        <v>notFoundLocal.append('Escaneo 2025\\214\\IN_LeyJustPenal-Adolesc-Art145y164.pdf')</v>
      </c>
    </row>
    <row r="111" spans="1:10" x14ac:dyDescent="0.25">
      <c r="A111">
        <v>271</v>
      </c>
      <c r="B111">
        <f>LEN(C111)</f>
        <v>20</v>
      </c>
      <c r="C111" t="s">
        <v>467</v>
      </c>
      <c r="D111" t="s">
        <v>468</v>
      </c>
      <c r="E111" t="s">
        <v>469</v>
      </c>
      <c r="F111" t="str">
        <f>TRIM(MID(D111,1,lastSt1("/",D111))&amp;TRIM(C111))</f>
        <v>Documentos compartidos/peticiones/Escaneo 2025/234/IN_LeyCine-Art.8.pdf</v>
      </c>
      <c r="G111" t="str">
        <f>TRIM(MID(replaceSt(E111,"\","\\"),1,lastSt1("\",replaceSt(E111,"\","\\")))&amp;TRIM(C111))</f>
        <v>Escaneo 2025\\234\\IN_LeyCine-Art.8.pdf</v>
      </c>
      <c r="H111" t="str">
        <f>"notFoundFile.append('"&amp;TRIM(C111)&amp;"')"</f>
        <v>notFoundFile.append('IN_LeyCine-Art.8.pdf')</v>
      </c>
      <c r="I111" t="str">
        <f>"notFoundWeb.append('"&amp;F111&amp;"')"</f>
        <v>notFoundWeb.append('Documentos compartidos/peticiones/Escaneo 2025/234/IN_LeyCine-Art.8.pdf')</v>
      </c>
      <c r="J111" t="str">
        <f>"notFoundLocal.append('"&amp;G111&amp;"')"</f>
        <v>notFoundLocal.append('Escaneo 2025\\234\\IN_LeyCine-Art.8.pdf')</v>
      </c>
    </row>
    <row r="112" spans="1:10" x14ac:dyDescent="0.25">
      <c r="A112">
        <v>120</v>
      </c>
      <c r="B112">
        <f>LEN(C112)</f>
        <v>19</v>
      </c>
      <c r="C112" t="s">
        <v>109</v>
      </c>
      <c r="D112" t="s">
        <v>110</v>
      </c>
      <c r="E112" t="s">
        <v>111</v>
      </c>
      <c r="F112" t="str">
        <f>TRIM(MID(D112,1,lastSt1("/",D112))&amp;TRIM(C112))</f>
        <v>Documentos compartidos/peticiones/Escaneo 2025/234/EN_FOLIO 002198.pdf</v>
      </c>
      <c r="G112" t="str">
        <f>TRIM(MID(replaceSt(E112,"\","\\"),1,lastSt1("\",replaceSt(E112,"\","\\")))&amp;TRIM(C112))</f>
        <v>Escaneo 2025\\234\\EN_FOLIO 002198.pdf</v>
      </c>
      <c r="H112" t="str">
        <f>"notFoundFile.append('"&amp;TRIM(C112)&amp;"')"</f>
        <v>notFoundFile.append('EN_FOLIO 002198.pdf')</v>
      </c>
      <c r="I112" t="str">
        <f>"notFoundWeb.append('"&amp;F112&amp;"')"</f>
        <v>notFoundWeb.append('Documentos compartidos/peticiones/Escaneo 2025/234/EN_FOLIO 002198.pdf')</v>
      </c>
      <c r="J112" t="str">
        <f>"notFoundLocal.append('"&amp;G112&amp;"')"</f>
        <v>notFoundLocal.append('Escaneo 2025\\234\\EN_FOLIO 002198.pdf')</v>
      </c>
    </row>
    <row r="113" spans="1:10" x14ac:dyDescent="0.25">
      <c r="A113">
        <v>241</v>
      </c>
      <c r="B113">
        <f>LEN(C113)</f>
        <v>22</v>
      </c>
      <c r="C113" t="s">
        <v>112</v>
      </c>
      <c r="D113" t="s">
        <v>113</v>
      </c>
      <c r="E113" t="s">
        <v>114</v>
      </c>
      <c r="F113" t="str">
        <f>TRIM(MID(D113,1,lastSt1("/",D113))&amp;TRIM(C113))</f>
        <v>Documentos compartidos/peticiones/Escaneo 2025/087/VL_RS IFO 087 2025.pdf</v>
      </c>
      <c r="G113" t="str">
        <f>TRIM(MID(replaceSt(E113,"\","\\"),1,lastSt1("\",replaceSt(E113,"\","\\")))&amp;TRIM(C113))</f>
        <v>Escaneo 2025\\087\\VL_RS IFO 087 2025.pdf</v>
      </c>
      <c r="H113" t="str">
        <f>"notFoundFile.append('"&amp;TRIM(C113)&amp;"')"</f>
        <v>notFoundFile.append('VL_RS IFO 087 2025.pdf')</v>
      </c>
      <c r="I113" t="str">
        <f>"notFoundWeb.append('"&amp;F113&amp;"')"</f>
        <v>notFoundWeb.append('Documentos compartidos/peticiones/Escaneo 2025/087/VL_RS IFO 087 2025.pdf')</v>
      </c>
      <c r="J113" t="str">
        <f>"notFoundLocal.append('"&amp;G113&amp;"')"</f>
        <v>notFoundLocal.append('Escaneo 2025\\087\\VL_RS IFO 087 2025.pdf')</v>
      </c>
    </row>
    <row r="114" spans="1:10" x14ac:dyDescent="0.25">
      <c r="A114">
        <v>85</v>
      </c>
      <c r="B114">
        <f>LEN(C114)</f>
        <v>25</v>
      </c>
      <c r="C114" t="s">
        <v>470</v>
      </c>
      <c r="D114" t="s">
        <v>471</v>
      </c>
      <c r="E114" t="s">
        <v>472</v>
      </c>
      <c r="F114" t="str">
        <f>TRIM(MID(D114,1,lastSt1("/",D114))&amp;TRIM(C114))</f>
        <v>Documentos compartidos/peticiones/Escaneo 2025/087/RS_O-IFO-087-OFICIO F.pdf</v>
      </c>
      <c r="G114" t="str">
        <f>TRIM(MID(replaceSt(E114,"\","\\"),1,lastSt1("\",replaceSt(E114,"\","\\")))&amp;TRIM(C114))</f>
        <v>Escaneo 2025\\087\\RS_O-IFO-087-OFICIO F.pdf</v>
      </c>
      <c r="H114" t="str">
        <f>"notFoundFile.append('"&amp;TRIM(C114)&amp;"')"</f>
        <v>notFoundFile.append('RS_O-IFO-087-OFICIO F.pdf')</v>
      </c>
      <c r="I114" t="str">
        <f>"notFoundWeb.append('"&amp;F114&amp;"')"</f>
        <v>notFoundWeb.append('Documentos compartidos/peticiones/Escaneo 2025/087/RS_O-IFO-087-OFICIO F.pdf')</v>
      </c>
      <c r="J114" t="str">
        <f>"notFoundLocal.append('"&amp;G114&amp;"')"</f>
        <v>notFoundLocal.append('Escaneo 2025\\087\\RS_O-IFO-087-OFICIO F.pdf')</v>
      </c>
    </row>
    <row r="115" spans="1:10" x14ac:dyDescent="0.25">
      <c r="A115">
        <v>266</v>
      </c>
      <c r="B115">
        <f>LEN(C115)</f>
        <v>34</v>
      </c>
      <c r="C115" t="s">
        <v>473</v>
      </c>
      <c r="D115" t="s">
        <v>474</v>
      </c>
      <c r="E115" t="s">
        <v>475</v>
      </c>
      <c r="F115" t="str">
        <f>TRIM(MID(D115,1,lastSt1("/",D115))&amp;TRIM(C115))</f>
        <v>Documentos compartidos/peticiones/Escaneo 2025/087/RS_IFO-087-Evasión-Elusión-VR.docx</v>
      </c>
      <c r="G115" t="str">
        <f>TRIM(MID(replaceSt(E115,"\","\\"),1,lastSt1("\",replaceSt(E115,"\","\\")))&amp;TRIM(C115))</f>
        <v>Escaneo 2025\\087\\RS_IFO-087-Evasión-Elusión-VR.docx</v>
      </c>
      <c r="H115" t="str">
        <f>"notFoundFile.append('"&amp;TRIM(C115)&amp;"')"</f>
        <v>notFoundFile.append('RS_IFO-087-Evasión-Elusión-VR.docx')</v>
      </c>
      <c r="I115" t="str">
        <f>"notFoundWeb.append('"&amp;F115&amp;"')"</f>
        <v>notFoundWeb.append('Documentos compartidos/peticiones/Escaneo 2025/087/RS_IFO-087-Evasión-Elusión-VR.docx')</v>
      </c>
      <c r="J115" t="str">
        <f>"notFoundLocal.append('"&amp;G115&amp;"')"</f>
        <v>notFoundLocal.append('Escaneo 2025\\087\\RS_IFO-087-Evasión-Elusión-VR.docx')</v>
      </c>
    </row>
    <row r="116" spans="1:10" x14ac:dyDescent="0.25">
      <c r="A116">
        <v>230</v>
      </c>
      <c r="B116">
        <f>LEN(C116)</f>
        <v>25</v>
      </c>
      <c r="C116" t="s">
        <v>476</v>
      </c>
      <c r="D116" t="s">
        <v>477</v>
      </c>
      <c r="E116" t="s">
        <v>478</v>
      </c>
      <c r="F116" t="str">
        <f>TRIM(MID(D116,1,lastSt1("/",D116))&amp;TRIM(C116))</f>
        <v>Documentos compartidos/peticiones/Escaneo 2025/086/RS_O-IPP-086-OFICIO F.pdf</v>
      </c>
      <c r="G116" t="str">
        <f>TRIM(MID(replaceSt(E116,"\","\\"),1,lastSt1("\",replaceSt(E116,"\","\\")))&amp;TRIM(C116))</f>
        <v>Escaneo 2025\\086\\RS_O-IPP-086-OFICIO F.pdf</v>
      </c>
      <c r="H116" t="str">
        <f>"notFoundFile.append('"&amp;TRIM(C116)&amp;"')"</f>
        <v>notFoundFile.append('RS_O-IPP-086-OFICIO F.pdf')</v>
      </c>
      <c r="I116" t="str">
        <f>"notFoundWeb.append('"&amp;F116&amp;"')"</f>
        <v>notFoundWeb.append('Documentos compartidos/peticiones/Escaneo 2025/086/RS_O-IPP-086-OFICIO F.pdf')</v>
      </c>
      <c r="J116" t="str">
        <f>"notFoundLocal.append('"&amp;G116&amp;"')"</f>
        <v>notFoundLocal.append('Escaneo 2025\\086\\RS_O-IPP-086-OFICIO F.pdf')</v>
      </c>
    </row>
    <row r="117" spans="1:10" x14ac:dyDescent="0.25">
      <c r="A117">
        <v>289</v>
      </c>
      <c r="B117">
        <f>LEN(C117)</f>
        <v>30</v>
      </c>
      <c r="C117" t="s">
        <v>115</v>
      </c>
      <c r="D117" t="s">
        <v>116</v>
      </c>
      <c r="E117" t="s">
        <v>117</v>
      </c>
      <c r="F117" t="str">
        <f>TRIM(MID(D117,1,lastSt1("/",D117))&amp;TRIM(C117))</f>
        <v>Documentos compartidos/peticiones/Escaneo 2025/097/RS_O IPP 097 2025 OFICIO F.pdf</v>
      </c>
      <c r="G117" t="str">
        <f>TRIM(MID(replaceSt(E117,"\","\\"),1,lastSt1("\",replaceSt(E117,"\","\\")))&amp;TRIM(C117))</f>
        <v>Escaneo 2025\\097\\RS_O IPP 097 2025 OFICIO F.pdf</v>
      </c>
      <c r="H117" t="str">
        <f>"notFoundFile.append('"&amp;TRIM(C117)&amp;"')"</f>
        <v>notFoundFile.append('RS_O IPP 097 2025 OFICIO F.pdf')</v>
      </c>
      <c r="I117" t="str">
        <f>"notFoundWeb.append('"&amp;F117&amp;"')"</f>
        <v>notFoundWeb.append('Documentos compartidos/peticiones/Escaneo 2025/097/RS_O IPP 097 2025 OFICIO F.pdf')</v>
      </c>
      <c r="J117" t="str">
        <f>"notFoundLocal.append('"&amp;G117&amp;"')"</f>
        <v>notFoundLocal.append('Escaneo 2025\\097\\RS_O IPP 097 2025 OFICIO F.pdf')</v>
      </c>
    </row>
    <row r="118" spans="1:10" x14ac:dyDescent="0.25">
      <c r="A118">
        <v>236</v>
      </c>
      <c r="B118">
        <f>LEN(C118)</f>
        <v>25</v>
      </c>
      <c r="C118" t="s">
        <v>118</v>
      </c>
      <c r="D118" t="s">
        <v>119</v>
      </c>
      <c r="E118" t="s">
        <v>120</v>
      </c>
      <c r="F118" t="str">
        <f>TRIM(MID(D118,1,lastSt1("/",D118))&amp;TRIM(C118))</f>
        <v>Documentos compartidos/peticiones/Escaneo 2025/145/6/VL_VL IPP 145-6-2025.docx</v>
      </c>
      <c r="G118" t="str">
        <f>TRIM(MID(replaceSt(E118,"\","\\"),1,lastSt1("\",replaceSt(E118,"\","\\")))&amp;TRIM(C118))</f>
        <v>Escaneo 2025\\145\\6\\VL_VL IPP 145-6-2025.docx</v>
      </c>
      <c r="H118" t="str">
        <f>"notFoundFile.append('"&amp;TRIM(C118)&amp;"')"</f>
        <v>notFoundFile.append('VL_VL IPP 145-6-2025.docx')</v>
      </c>
      <c r="I118" t="str">
        <f>"notFoundWeb.append('"&amp;F118&amp;"')"</f>
        <v>notFoundWeb.append('Documentos compartidos/peticiones/Escaneo 2025/145/6/VL_VL IPP 145-6-2025.docx')</v>
      </c>
      <c r="J118" t="str">
        <f>"notFoundLocal.append('"&amp;G118&amp;"')"</f>
        <v>notFoundLocal.append('Escaneo 2025\\145\\6\\VL_VL IPP 145-6-2025.docx')</v>
      </c>
    </row>
    <row r="119" spans="1:10" x14ac:dyDescent="0.25">
      <c r="A119">
        <v>24</v>
      </c>
      <c r="B119">
        <f>LEN(C119)</f>
        <v>27</v>
      </c>
      <c r="C119" t="s">
        <v>479</v>
      </c>
      <c r="D119" t="s">
        <v>480</v>
      </c>
      <c r="E119" t="s">
        <v>481</v>
      </c>
      <c r="F119" t="str">
        <f>TRIM(MID(D119,1,lastSt1("/",D119))&amp;TRIM(C119))</f>
        <v>Documentos compartidos/peticiones/Escaneo 2025/145/5/RS_O-IPP-145.5-OFICIO F.pdf</v>
      </c>
      <c r="G119" t="str">
        <f>TRIM(MID(replaceSt(E119,"\","\\"),1,lastSt1("\",replaceSt(E119,"\","\\")))&amp;TRIM(C119))</f>
        <v>Escaneo 2025\\145\\5\\RS_O-IPP-145.5-OFICIO F.pdf</v>
      </c>
      <c r="H119" t="str">
        <f>"notFoundFile.append('"&amp;TRIM(C119)&amp;"')"</f>
        <v>notFoundFile.append('RS_O-IPP-145.5-OFICIO F.pdf')</v>
      </c>
      <c r="I119" t="str">
        <f>"notFoundWeb.append('"&amp;F119&amp;"')"</f>
        <v>notFoundWeb.append('Documentos compartidos/peticiones/Escaneo 2025/145/5/RS_O-IPP-145.5-OFICIO F.pdf')</v>
      </c>
      <c r="J119" t="str">
        <f>"notFoundLocal.append('"&amp;G119&amp;"')"</f>
        <v>notFoundLocal.append('Escaneo 2025\\145\\5\\RS_O-IPP-145.5-OFICIO F.pdf')</v>
      </c>
    </row>
    <row r="120" spans="1:10" x14ac:dyDescent="0.25">
      <c r="A120">
        <v>138</v>
      </c>
      <c r="B120">
        <f>LEN(C120)</f>
        <v>19</v>
      </c>
      <c r="C120" t="s">
        <v>482</v>
      </c>
      <c r="D120" t="s">
        <v>483</v>
      </c>
      <c r="E120" t="s">
        <v>484</v>
      </c>
      <c r="F120" t="str">
        <f>TRIM(MID(D120,1,lastSt1("/",D120))&amp;TRIM(C120))</f>
        <v>Documentos compartidos/peticiones/Escaneo 2025/145/5/VL_IPP-145.5-MA.pdf</v>
      </c>
      <c r="G120" t="str">
        <f>TRIM(MID(replaceSt(E120,"\","\\"),1,lastSt1("\",replaceSt(E120,"\","\\")))&amp;TRIM(C120))</f>
        <v>Escaneo 2025\\145\\5\\VL_IPP-145.5-MA.pdf</v>
      </c>
      <c r="H120" t="str">
        <f>"notFoundFile.append('"&amp;TRIM(C120)&amp;"')"</f>
        <v>notFoundFile.append('VL_IPP-145.5-MA.pdf')</v>
      </c>
      <c r="I120" t="str">
        <f>"notFoundWeb.append('"&amp;F120&amp;"')"</f>
        <v>notFoundWeb.append('Documentos compartidos/peticiones/Escaneo 2025/145/5/VL_IPP-145.5-MA.pdf')</v>
      </c>
      <c r="J120" t="str">
        <f>"notFoundLocal.append('"&amp;G120&amp;"')"</f>
        <v>notFoundLocal.append('Escaneo 2025\\145\\5\\VL_IPP-145.5-MA.pdf')</v>
      </c>
    </row>
    <row r="121" spans="1:10" x14ac:dyDescent="0.25">
      <c r="A121">
        <v>88</v>
      </c>
      <c r="B121">
        <f>LEN(C121)</f>
        <v>17</v>
      </c>
      <c r="C121" t="s">
        <v>121</v>
      </c>
      <c r="D121" t="s">
        <v>122</v>
      </c>
      <c r="E121" t="s">
        <v>123</v>
      </c>
      <c r="F121" t="str">
        <f>TRIM(MID(D121,1,lastSt1("/",D121))&amp;TRIM(C121))</f>
        <v>Documentos compartidos/peticiones/Escaneo 2025/145/5/VL_IPP 145-5.docx</v>
      </c>
      <c r="G121" t="str">
        <f>TRIM(MID(replaceSt(E121,"\","\\"),1,lastSt1("\",replaceSt(E121,"\","\\")))&amp;TRIM(C121))</f>
        <v>Escaneo 2025\\145\\5\\VL_IPP 145-5.docx</v>
      </c>
      <c r="H121" t="str">
        <f>"notFoundFile.append('"&amp;TRIM(C121)&amp;"')"</f>
        <v>notFoundFile.append('VL_IPP 145-5.docx')</v>
      </c>
      <c r="I121" t="str">
        <f>"notFoundWeb.append('"&amp;F121&amp;"')"</f>
        <v>notFoundWeb.append('Documentos compartidos/peticiones/Escaneo 2025/145/5/VL_IPP 145-5.docx')</v>
      </c>
      <c r="J121" t="str">
        <f>"notFoundLocal.append('"&amp;G121&amp;"')"</f>
        <v>notFoundLocal.append('Escaneo 2025\\145\\5\\VL_IPP 145-5.docx')</v>
      </c>
    </row>
    <row r="122" spans="1:10" x14ac:dyDescent="0.25">
      <c r="A122">
        <v>2</v>
      </c>
      <c r="B122">
        <f>LEN(C122)</f>
        <v>19</v>
      </c>
      <c r="C122" t="s">
        <v>124</v>
      </c>
      <c r="D122" t="s">
        <v>125</v>
      </c>
      <c r="E122" t="s">
        <v>126</v>
      </c>
      <c r="F122" t="str">
        <f>TRIM(MID(D122,1,lastSt1("/",D122))&amp;TRIM(C122))</f>
        <v>Documentos compartidos/peticiones/Escaneo 2025/218/EN_FOLIO 002186.pdf</v>
      </c>
      <c r="G122" t="str">
        <f>TRIM(MID(replaceSt(E122,"\","\\"),1,lastSt1("\",replaceSt(E122,"\","\\")))&amp;TRIM(C122))</f>
        <v>Escaneo 2025\\218\\EN_FOLIO 002186.pdf</v>
      </c>
      <c r="H122" t="str">
        <f>"notFoundFile.append('"&amp;TRIM(C122)&amp;"')"</f>
        <v>notFoundFile.append('EN_FOLIO 002186.pdf')</v>
      </c>
      <c r="I122" t="str">
        <f>"notFoundWeb.append('"&amp;F122&amp;"')"</f>
        <v>notFoundWeb.append('Documentos compartidos/peticiones/Escaneo 2025/218/EN_FOLIO 002186.pdf')</v>
      </c>
      <c r="J122" t="str">
        <f>"notFoundLocal.append('"&amp;G122&amp;"')"</f>
        <v>notFoundLocal.append('Escaneo 2025\\218\\EN_FOLIO 002186.pdf')</v>
      </c>
    </row>
    <row r="123" spans="1:10" x14ac:dyDescent="0.25">
      <c r="A123">
        <v>5</v>
      </c>
      <c r="B123">
        <f>LEN(C123)</f>
        <v>21</v>
      </c>
      <c r="C123" t="s">
        <v>485</v>
      </c>
      <c r="D123" t="s">
        <v>486</v>
      </c>
      <c r="E123" t="s">
        <v>487</v>
      </c>
      <c r="F123" t="str">
        <f>TRIM(MID(D123,1,lastSt1("/",D123))&amp;TRIM(C123))</f>
        <v>Documentos compartidos/peticiones/Escaneo 2025/218/IN_LeyNiñas-Art26.pdf</v>
      </c>
      <c r="G123" t="str">
        <f>TRIM(MID(replaceSt(E123,"\","\\"),1,lastSt1("\",replaceSt(E123,"\","\\")))&amp;TRIM(C123))</f>
        <v>Escaneo 2025\\218\\IN_LeyNiñas-Art26.pdf</v>
      </c>
      <c r="H123" t="str">
        <f>"notFoundFile.append('"&amp;TRIM(C123)&amp;"')"</f>
        <v>notFoundFile.append('IN_LeyNiñas-Art26.pdf')</v>
      </c>
      <c r="I123" t="str">
        <f>"notFoundWeb.append('"&amp;F123&amp;"')"</f>
        <v>notFoundWeb.append('Documentos compartidos/peticiones/Escaneo 2025/218/IN_LeyNiñas-Art26.pdf')</v>
      </c>
      <c r="J123" t="str">
        <f>"notFoundLocal.append('"&amp;G123&amp;"')"</f>
        <v>notFoundLocal.append('Escaneo 2025\\218\\IN_LeyNiñas-Art26.pdf')</v>
      </c>
    </row>
    <row r="124" spans="1:10" x14ac:dyDescent="0.25">
      <c r="A124">
        <v>155</v>
      </c>
      <c r="B124">
        <f>LEN(C124)</f>
        <v>26</v>
      </c>
      <c r="C124" t="s">
        <v>488</v>
      </c>
      <c r="D124" t="s">
        <v>489</v>
      </c>
      <c r="E124" t="s">
        <v>490</v>
      </c>
      <c r="F124" t="str">
        <f>TRIM(MID(D124,1,lastSt1("/",D124))&amp;TRIM(C124))</f>
        <v>Documentos compartidos/peticiones/Escaneo 2025/240/IN_CódPenal-Art-211Bis.pdf</v>
      </c>
      <c r="G124" t="str">
        <f>TRIM(MID(replaceSt(E124,"\","\\"),1,lastSt1("\",replaceSt(E124,"\","\\")))&amp;TRIM(C124))</f>
        <v>Escaneo 2025\\240\\IN_CódPenal-Art-211Bis.pdf</v>
      </c>
      <c r="H124" t="str">
        <f>"notFoundFile.append('"&amp;TRIM(C124)&amp;"')"</f>
        <v>notFoundFile.append('IN_CódPenal-Art-211Bis.pdf')</v>
      </c>
      <c r="I124" t="str">
        <f>"notFoundWeb.append('"&amp;F124&amp;"')"</f>
        <v>notFoundWeb.append('Documentos compartidos/peticiones/Escaneo 2025/240/IN_CódPenal-Art-211Bis.pdf')</v>
      </c>
      <c r="J124" t="str">
        <f>"notFoundLocal.append('"&amp;G124&amp;"')"</f>
        <v>notFoundLocal.append('Escaneo 2025\\240\\IN_CódPenal-Art-211Bis.pdf')</v>
      </c>
    </row>
    <row r="125" spans="1:10" x14ac:dyDescent="0.25">
      <c r="A125">
        <v>35</v>
      </c>
      <c r="B125">
        <f>LEN(C125)</f>
        <v>19</v>
      </c>
      <c r="C125" t="s">
        <v>127</v>
      </c>
      <c r="D125" t="s">
        <v>128</v>
      </c>
      <c r="E125" t="s">
        <v>129</v>
      </c>
      <c r="F125" t="str">
        <f>TRIM(MID(D125,1,lastSt1("/",D125))&amp;TRIM(C125))</f>
        <v>Documentos compartidos/peticiones/Escaneo 2025/240/EN_FOLIO 002204.pdf</v>
      </c>
      <c r="G125" t="str">
        <f>TRIM(MID(replaceSt(E125,"\","\\"),1,lastSt1("\",replaceSt(E125,"\","\\")))&amp;TRIM(C125))</f>
        <v>Escaneo 2025\\240\\EN_FOLIO 002204.pdf</v>
      </c>
      <c r="H125" t="str">
        <f>"notFoundFile.append('"&amp;TRIM(C125)&amp;"')"</f>
        <v>notFoundFile.append('EN_FOLIO 002204.pdf')</v>
      </c>
      <c r="I125" t="str">
        <f>"notFoundWeb.append('"&amp;F125&amp;"')"</f>
        <v>notFoundWeb.append('Documentos compartidos/peticiones/Escaneo 2025/240/EN_FOLIO 002204.pdf')</v>
      </c>
      <c r="J125" t="str">
        <f>"notFoundLocal.append('"&amp;G125&amp;"')"</f>
        <v>notFoundLocal.append('Escaneo 2025\\240\\EN_FOLIO 002204.pdf')</v>
      </c>
    </row>
    <row r="126" spans="1:10" x14ac:dyDescent="0.25">
      <c r="A126">
        <v>218</v>
      </c>
      <c r="B126">
        <f>LEN(C126)</f>
        <v>30</v>
      </c>
      <c r="C126" t="s">
        <v>653</v>
      </c>
      <c r="D126" t="s">
        <v>654</v>
      </c>
      <c r="E126" t="s">
        <v>655</v>
      </c>
      <c r="F126" t="str">
        <f>TRIM(MID(D126,1,lastSt1("/",D126))&amp;TRIM(C126))</f>
        <v>Documentos compartidos/peticiones/Escaneo 2025/057/RS_O IPP 057 2025 OFICIO F.pdf</v>
      </c>
      <c r="G126" t="str">
        <f>TRIM(MID(replaceSt(E126,"\","\\"),1,lastSt1("\",replaceSt(E126,"\","\\")))&amp;TRIM(C126))</f>
        <v>Escaneo 2025\\057\\RS_O IPP 057 2025 OFICIO F.pdf</v>
      </c>
      <c r="H126" t="str">
        <f>"notFoundFile.append('"&amp;TRIM(C126)&amp;"')"</f>
        <v>notFoundFile.append('RS_O IPP 057 2025 OFICIO F.pdf')</v>
      </c>
      <c r="I126" t="str">
        <f>"notFoundWeb.append('"&amp;F126&amp;"')"</f>
        <v>notFoundWeb.append('Documentos compartidos/peticiones/Escaneo 2025/057/RS_O IPP 057 2025 OFICIO F.pdf')</v>
      </c>
      <c r="J126" t="str">
        <f>"notFoundLocal.append('"&amp;G126&amp;"')"</f>
        <v>notFoundLocal.append('Escaneo 2025\\057\\RS_O IPP 057 2025 OFICIO F.pdf')</v>
      </c>
    </row>
    <row r="127" spans="1:10" x14ac:dyDescent="0.25">
      <c r="A127">
        <v>29</v>
      </c>
      <c r="B127">
        <f>LEN(C127)</f>
        <v>33</v>
      </c>
      <c r="C127" t="s">
        <v>491</v>
      </c>
      <c r="D127" t="s">
        <v>492</v>
      </c>
      <c r="E127" t="s">
        <v>493</v>
      </c>
      <c r="F127" t="str">
        <f>TRIM(MID(D127,1,lastSt1("/",D127))&amp;TRIM(C127))</f>
        <v>Documentos compartidos/peticiones/Escaneo 2025/237/IN_LeyAnimal-LeyVidaSilvestre.pdf</v>
      </c>
      <c r="G127" t="str">
        <f>TRIM(MID(replaceSt(E127,"\","\\"),1,lastSt1("\",replaceSt(E127,"\","\\")))&amp;TRIM(C127))</f>
        <v>Escaneo 2025\\237\\IN_LeyAnimal-LeyVidaSilvestre.pdf</v>
      </c>
      <c r="H127" t="str">
        <f>"notFoundFile.append('"&amp;TRIM(C127)&amp;"')"</f>
        <v>notFoundFile.append('IN_LeyAnimal-LeyVidaSilvestre.pdf')</v>
      </c>
      <c r="I127" t="str">
        <f>"notFoundWeb.append('"&amp;F127&amp;"')"</f>
        <v>notFoundWeb.append('Documentos compartidos/peticiones/Escaneo 2025/237/IN_LeyAnimal-LeyVidaSilvestre.pdf')</v>
      </c>
      <c r="J127" t="str">
        <f>"notFoundLocal.append('"&amp;G127&amp;"')"</f>
        <v>notFoundLocal.append('Escaneo 2025\\237\\IN_LeyAnimal-LeyVidaSilvestre.pdf')</v>
      </c>
    </row>
    <row r="128" spans="1:10" x14ac:dyDescent="0.25">
      <c r="A128">
        <v>162</v>
      </c>
      <c r="B128">
        <f>LEN(C128)</f>
        <v>19</v>
      </c>
      <c r="C128" t="s">
        <v>130</v>
      </c>
      <c r="D128" t="s">
        <v>131</v>
      </c>
      <c r="E128" t="s">
        <v>132</v>
      </c>
      <c r="F128" t="str">
        <f>TRIM(MID(D128,1,lastSt1("/",D128))&amp;TRIM(C128))</f>
        <v>Documentos compartidos/peticiones/Escaneo 2025/237/EN_FOLIO 002201.pdf</v>
      </c>
      <c r="G128" t="str">
        <f>TRIM(MID(replaceSt(E128,"\","\\"),1,lastSt1("\",replaceSt(E128,"\","\\")))&amp;TRIM(C128))</f>
        <v>Escaneo 2025\\237\\EN_FOLIO 002201.pdf</v>
      </c>
      <c r="H128" t="str">
        <f>"notFoundFile.append('"&amp;TRIM(C128)&amp;"')"</f>
        <v>notFoundFile.append('EN_FOLIO 002201.pdf')</v>
      </c>
      <c r="I128" t="str">
        <f>"notFoundWeb.append('"&amp;F128&amp;"')"</f>
        <v>notFoundWeb.append('Documentos compartidos/peticiones/Escaneo 2025/237/EN_FOLIO 002201.pdf')</v>
      </c>
      <c r="J128" t="str">
        <f>"notFoundLocal.append('"&amp;G128&amp;"')"</f>
        <v>notFoundLocal.append('Escaneo 2025\\237\\EN_FOLIO 002201.pdf')</v>
      </c>
    </row>
    <row r="129" spans="1:10" x14ac:dyDescent="0.25">
      <c r="A129">
        <v>177</v>
      </c>
      <c r="B129">
        <f>LEN(C129)</f>
        <v>27</v>
      </c>
      <c r="C129" t="s">
        <v>494</v>
      </c>
      <c r="D129" t="s">
        <v>495</v>
      </c>
      <c r="E129" t="s">
        <v>496</v>
      </c>
      <c r="F129" t="str">
        <f>TRIM(MID(D129,1,lastSt1("/",D129))&amp;TRIM(C129))</f>
        <v>Documentos compartidos/peticiones/Escaneo 2025/098/2/RS_O-IPP-098.2-OFICIO F.pdf</v>
      </c>
      <c r="G129" t="str">
        <f>TRIM(MID(replaceSt(E129,"\","\\"),1,lastSt1("\",replaceSt(E129,"\","\\")))&amp;TRIM(C129))</f>
        <v>Escaneo 2025\\098\\2\\RS_O-IPP-098.2-OFICIO F.pdf</v>
      </c>
      <c r="H129" t="str">
        <f>"notFoundFile.append('"&amp;TRIM(C129)&amp;"')"</f>
        <v>notFoundFile.append('RS_O-IPP-098.2-OFICIO F.pdf')</v>
      </c>
      <c r="I129" t="str">
        <f>"notFoundWeb.append('"&amp;F129&amp;"')"</f>
        <v>notFoundWeb.append('Documentos compartidos/peticiones/Escaneo 2025/098/2/RS_O-IPP-098.2-OFICIO F.pdf')</v>
      </c>
      <c r="J129" t="str">
        <f>"notFoundLocal.append('"&amp;G129&amp;"')"</f>
        <v>notFoundLocal.append('Escaneo 2025\\098\\2\\RS_O-IPP-098.2-OFICIO F.pdf')</v>
      </c>
    </row>
    <row r="130" spans="1:10" x14ac:dyDescent="0.25">
      <c r="A130">
        <v>48</v>
      </c>
      <c r="B130">
        <f>LEN(C130)</f>
        <v>17</v>
      </c>
      <c r="C130" t="s">
        <v>133</v>
      </c>
      <c r="D130" t="s">
        <v>134</v>
      </c>
      <c r="E130" t="s">
        <v>135</v>
      </c>
      <c r="F130" t="str">
        <f>TRIM(MID(D130,1,lastSt1("/",D130))&amp;TRIM(C130))</f>
        <v>Documentos compartidos/peticiones/Escaneo 2025/098/2/RS_OIPP098-2.docx</v>
      </c>
      <c r="G130" t="str">
        <f>TRIM(MID(replaceSt(E130,"\","\\"),1,lastSt1("\",replaceSt(E130,"\","\\")))&amp;TRIM(C130))</f>
        <v>Escaneo 2025\\098\\2\\RS_OIPP098-2.docx</v>
      </c>
      <c r="H130" t="str">
        <f>"notFoundFile.append('"&amp;TRIM(C130)&amp;"')"</f>
        <v>notFoundFile.append('RS_OIPP098-2.docx')</v>
      </c>
      <c r="I130" t="str">
        <f>"notFoundWeb.append('"&amp;F130&amp;"')"</f>
        <v>notFoundWeb.append('Documentos compartidos/peticiones/Escaneo 2025/098/2/RS_OIPP098-2.docx')</v>
      </c>
      <c r="J130" t="str">
        <f>"notFoundLocal.append('"&amp;G130&amp;"')"</f>
        <v>notFoundLocal.append('Escaneo 2025\\098\\2\\RS_OIPP098-2.docx')</v>
      </c>
    </row>
    <row r="131" spans="1:10" x14ac:dyDescent="0.25">
      <c r="A131">
        <v>111</v>
      </c>
      <c r="B131">
        <f>LEN(C131)</f>
        <v>25</v>
      </c>
      <c r="C131" t="s">
        <v>497</v>
      </c>
      <c r="D131" t="s">
        <v>498</v>
      </c>
      <c r="E131" t="s">
        <v>499</v>
      </c>
      <c r="F131" t="str">
        <f>TRIM(MID(D131,1,lastSt1("/",D131))&amp;TRIM(C131))</f>
        <v>Documentos compartidos/peticiones/Escaneo 2025/103/RS_O-IPP-103-OFICIO F.pdf</v>
      </c>
      <c r="G131" t="str">
        <f>TRIM(MID(replaceSt(E131,"\","\\"),1,lastSt1("\",replaceSt(E131,"\","\\")))&amp;TRIM(C131))</f>
        <v>Escaneo 2025\\103\\RS_O-IPP-103-OFICIO F.pdf</v>
      </c>
      <c r="H131" t="str">
        <f>"notFoundFile.append('"&amp;TRIM(C131)&amp;"')"</f>
        <v>notFoundFile.append('RS_O-IPP-103-OFICIO F.pdf')</v>
      </c>
      <c r="I131" t="str">
        <f>"notFoundWeb.append('"&amp;F131&amp;"')"</f>
        <v>notFoundWeb.append('Documentos compartidos/peticiones/Escaneo 2025/103/RS_O-IPP-103-OFICIO F.pdf')</v>
      </c>
      <c r="J131" t="str">
        <f>"notFoundLocal.append('"&amp;G131&amp;"')"</f>
        <v>notFoundLocal.append('Escaneo 2025\\103\\RS_O-IPP-103-OFICIO F.pdf')</v>
      </c>
    </row>
    <row r="132" spans="1:10" x14ac:dyDescent="0.25">
      <c r="A132">
        <v>287</v>
      </c>
      <c r="B132">
        <f>LEN(C132)</f>
        <v>21</v>
      </c>
      <c r="C132" t="s">
        <v>136</v>
      </c>
      <c r="D132" t="s">
        <v>137</v>
      </c>
      <c r="E132" t="s">
        <v>138</v>
      </c>
      <c r="F132" t="str">
        <f>TRIM(MID(D132,1,lastSt1("/",D132))&amp;TRIM(C132))</f>
        <v>Documentos compartidos/peticiones/Escaneo 2025/103/VL_VL IPP 103Rev.docx</v>
      </c>
      <c r="G132" t="str">
        <f>TRIM(MID(replaceSt(E132,"\","\\"),1,lastSt1("\",replaceSt(E132,"\","\\")))&amp;TRIM(C132))</f>
        <v>Escaneo 2025\\103\\VL_VL IPP 103Rev.docx</v>
      </c>
      <c r="H132" t="str">
        <f>"notFoundFile.append('"&amp;TRIM(C132)&amp;"')"</f>
        <v>notFoundFile.append('VL_VL IPP 103Rev.docx')</v>
      </c>
      <c r="I132" t="str">
        <f>"notFoundWeb.append('"&amp;F132&amp;"')"</f>
        <v>notFoundWeb.append('Documentos compartidos/peticiones/Escaneo 2025/103/VL_VL IPP 103Rev.docx')</v>
      </c>
      <c r="J132" t="str">
        <f>"notFoundLocal.append('"&amp;G132&amp;"')"</f>
        <v>notFoundLocal.append('Escaneo 2025\\103\\VL_VL IPP 103Rev.docx')</v>
      </c>
    </row>
    <row r="133" spans="1:10" x14ac:dyDescent="0.25">
      <c r="A133">
        <v>16</v>
      </c>
      <c r="B133">
        <f>LEN(C133)</f>
        <v>19</v>
      </c>
      <c r="C133" t="s">
        <v>139</v>
      </c>
      <c r="D133" t="s">
        <v>140</v>
      </c>
      <c r="E133" t="s">
        <v>141</v>
      </c>
      <c r="F133" t="str">
        <f>TRIM(MID(D133,1,lastSt1("/",D133))&amp;TRIM(C133))</f>
        <v>Documentos compartidos/peticiones/Escaneo 2025/103/VL_VL IPP 103 R.pdf</v>
      </c>
      <c r="G133" t="str">
        <f>TRIM(MID(replaceSt(E133,"\","\\"),1,lastSt1("\",replaceSt(E133,"\","\\")))&amp;TRIM(C133))</f>
        <v>Escaneo 2025\\103\\VL_VL IPP 103 R.pdf</v>
      </c>
      <c r="H133" t="str">
        <f>"notFoundFile.append('"&amp;TRIM(C133)&amp;"')"</f>
        <v>notFoundFile.append('VL_VL IPP 103 R.pdf')</v>
      </c>
      <c r="I133" t="str">
        <f>"notFoundWeb.append('"&amp;F133&amp;"')"</f>
        <v>notFoundWeb.append('Documentos compartidos/peticiones/Escaneo 2025/103/VL_VL IPP 103 R.pdf')</v>
      </c>
      <c r="J133" t="str">
        <f>"notFoundLocal.append('"&amp;G133&amp;"')"</f>
        <v>notFoundLocal.append('Escaneo 2025\\103\\VL_VL IPP 103 R.pdf')</v>
      </c>
    </row>
    <row r="134" spans="1:10" x14ac:dyDescent="0.25">
      <c r="A134">
        <v>90</v>
      </c>
      <c r="B134">
        <f>LEN(C134)</f>
        <v>24</v>
      </c>
      <c r="C134" t="s">
        <v>142</v>
      </c>
      <c r="D134" t="s">
        <v>143</v>
      </c>
      <c r="E134" t="s">
        <v>144</v>
      </c>
      <c r="F134" t="str">
        <f>TRIM(MID(D134,1,lastSt1("/",D134))&amp;TRIM(C134))</f>
        <v>Documentos compartidos/peticiones/Escaneo 2025/153/RS_OIPP 153-2025Rev.docx</v>
      </c>
      <c r="G134" t="str">
        <f>TRIM(MID(replaceSt(E134,"\","\\"),1,lastSt1("\",replaceSt(E134,"\","\\")))&amp;TRIM(C134))</f>
        <v>Escaneo 2025\\153\\RS_OIPP 153-2025Rev.docx</v>
      </c>
      <c r="H134" t="str">
        <f>"notFoundFile.append('"&amp;TRIM(C134)&amp;"')"</f>
        <v>notFoundFile.append('RS_OIPP 153-2025Rev.docx')</v>
      </c>
      <c r="I134" t="str">
        <f>"notFoundWeb.append('"&amp;F134&amp;"')"</f>
        <v>notFoundWeb.append('Documentos compartidos/peticiones/Escaneo 2025/153/RS_OIPP 153-2025Rev.docx')</v>
      </c>
      <c r="J134" t="str">
        <f>"notFoundLocal.append('"&amp;G134&amp;"')"</f>
        <v>notFoundLocal.append('Escaneo 2025\\153\\RS_OIPP 153-2025Rev.docx')</v>
      </c>
    </row>
    <row r="135" spans="1:10" x14ac:dyDescent="0.25">
      <c r="A135">
        <v>33</v>
      </c>
      <c r="B135">
        <f>LEN(C135)</f>
        <v>29</v>
      </c>
      <c r="C135" t="s">
        <v>500</v>
      </c>
      <c r="D135" t="s">
        <v>501</v>
      </c>
      <c r="E135" t="s">
        <v>502</v>
      </c>
      <c r="F135" t="str">
        <f>TRIM(MID(D135,1,lastSt1("/",D135))&amp;TRIM(C135))</f>
        <v>Documentos compartidos/peticiones/Escaneo 2025/226/IN_LeyMigracion-Art2-3y36.pdf</v>
      </c>
      <c r="G135" t="str">
        <f>TRIM(MID(replaceSt(E135,"\","\\"),1,lastSt1("\",replaceSt(E135,"\","\\")))&amp;TRIM(C135))</f>
        <v>Escaneo 2025\\226\\IN_LeyMigracion-Art2-3y36.pdf</v>
      </c>
      <c r="H135" t="str">
        <f>"notFoundFile.append('"&amp;TRIM(C135)&amp;"')"</f>
        <v>notFoundFile.append('IN_LeyMigracion-Art2-3y36.pdf')</v>
      </c>
      <c r="I135" t="str">
        <f>"notFoundWeb.append('"&amp;F135&amp;"')"</f>
        <v>notFoundWeb.append('Documentos compartidos/peticiones/Escaneo 2025/226/IN_LeyMigracion-Art2-3y36.pdf')</v>
      </c>
      <c r="J135" t="str">
        <f>"notFoundLocal.append('"&amp;G135&amp;"')"</f>
        <v>notFoundLocal.append('Escaneo 2025\\226\\IN_LeyMigracion-Art2-3y36.pdf')</v>
      </c>
    </row>
    <row r="136" spans="1:10" x14ac:dyDescent="0.25">
      <c r="A136">
        <v>274</v>
      </c>
      <c r="B136">
        <f>LEN(C136)</f>
        <v>19</v>
      </c>
      <c r="C136" t="s">
        <v>145</v>
      </c>
      <c r="D136" t="s">
        <v>146</v>
      </c>
      <c r="E136" t="s">
        <v>147</v>
      </c>
      <c r="F136" t="str">
        <f>TRIM(MID(D136,1,lastSt1("/",D136))&amp;TRIM(C136))</f>
        <v>Documentos compartidos/peticiones/Escaneo 2025/226/EN_FOLIO 002191.pdf</v>
      </c>
      <c r="G136" t="str">
        <f>TRIM(MID(replaceSt(E136,"\","\\"),1,lastSt1("\",replaceSt(E136,"\","\\")))&amp;TRIM(C136))</f>
        <v>Escaneo 2025\\226\\EN_FOLIO 002191.pdf</v>
      </c>
      <c r="H136" t="str">
        <f>"notFoundFile.append('"&amp;TRIM(C136)&amp;"')"</f>
        <v>notFoundFile.append('EN_FOLIO 002191.pdf')</v>
      </c>
      <c r="I136" t="str">
        <f>"notFoundWeb.append('"&amp;F136&amp;"')"</f>
        <v>notFoundWeb.append('Documentos compartidos/peticiones/Escaneo 2025/226/EN_FOLIO 002191.pdf')</v>
      </c>
      <c r="J136" t="str">
        <f>"notFoundLocal.append('"&amp;G136&amp;"')"</f>
        <v>notFoundLocal.append('Escaneo 2025\\226\\EN_FOLIO 002191.pdf')</v>
      </c>
    </row>
    <row r="137" spans="1:10" x14ac:dyDescent="0.25">
      <c r="A137">
        <v>110</v>
      </c>
      <c r="B137">
        <f>LEN(C137)</f>
        <v>19</v>
      </c>
      <c r="C137" t="s">
        <v>148</v>
      </c>
      <c r="D137" t="s">
        <v>149</v>
      </c>
      <c r="E137" t="s">
        <v>150</v>
      </c>
      <c r="F137" t="str">
        <f>TRIM(MID(D137,1,lastSt1("/",D137))&amp;TRIM(C137))</f>
        <v>Documentos compartidos/peticiones/Escaneo 2025/246/EN_FOLIO 002210.pdf</v>
      </c>
      <c r="G137" t="str">
        <f>TRIM(MID(replaceSt(E137,"\","\\"),1,lastSt1("\",replaceSt(E137,"\","\\")))&amp;TRIM(C137))</f>
        <v>Escaneo 2025\\246\\EN_FOLIO 002210.pdf</v>
      </c>
      <c r="H137" t="str">
        <f>"notFoundFile.append('"&amp;TRIM(C137)&amp;"')"</f>
        <v>notFoundFile.append('EN_FOLIO 002210.pdf')</v>
      </c>
      <c r="I137" t="str">
        <f>"notFoundWeb.append('"&amp;F137&amp;"')"</f>
        <v>notFoundWeb.append('Documentos compartidos/peticiones/Escaneo 2025/246/EN_FOLIO 002210.pdf')</v>
      </c>
      <c r="J137" t="str">
        <f>"notFoundLocal.append('"&amp;G137&amp;"')"</f>
        <v>notFoundLocal.append('Escaneo 2025\\246\\EN_FOLIO 002210.pdf')</v>
      </c>
    </row>
    <row r="138" spans="1:10" x14ac:dyDescent="0.25">
      <c r="A138">
        <v>286</v>
      </c>
      <c r="B138">
        <f>LEN(C138)</f>
        <v>20</v>
      </c>
      <c r="C138" t="s">
        <v>503</v>
      </c>
      <c r="D138" t="s">
        <v>504</v>
      </c>
      <c r="E138" t="s">
        <v>505</v>
      </c>
      <c r="F138" t="str">
        <f>TRIM(MID(D138,1,lastSt1("/",D138))&amp;TRIM(C138))</f>
        <v>Documentos compartidos/peticiones/Escaneo 2025/246/IN_LeySociedades.pdf</v>
      </c>
      <c r="G138" t="str">
        <f>TRIM(MID(replaceSt(E138,"\","\\"),1,lastSt1("\",replaceSt(E138,"\","\\")))&amp;TRIM(C138))</f>
        <v>Escaneo 2025\\246\\IN_LeySociedades.pdf</v>
      </c>
      <c r="H138" t="str">
        <f>"notFoundFile.append('"&amp;TRIM(C138)&amp;"')"</f>
        <v>notFoundFile.append('IN_LeySociedades.pdf')</v>
      </c>
      <c r="I138" t="str">
        <f>"notFoundWeb.append('"&amp;F138&amp;"')"</f>
        <v>notFoundWeb.append('Documentos compartidos/peticiones/Escaneo 2025/246/IN_LeySociedades.pdf')</v>
      </c>
      <c r="J138" t="str">
        <f>"notFoundLocal.append('"&amp;G138&amp;"')"</f>
        <v>notFoundLocal.append('Escaneo 2025\\246\\IN_LeySociedades.pdf')</v>
      </c>
    </row>
    <row r="139" spans="1:10" x14ac:dyDescent="0.25">
      <c r="A139">
        <v>125</v>
      </c>
      <c r="B139">
        <f>LEN(C139)</f>
        <v>27</v>
      </c>
      <c r="C139" t="s">
        <v>506</v>
      </c>
      <c r="D139" t="s">
        <v>507</v>
      </c>
      <c r="E139" t="s">
        <v>508</v>
      </c>
      <c r="F139" t="str">
        <f>TRIM(MID(D139,1,lastSt1("/",D139))&amp;TRIM(C139))</f>
        <v>Documentos compartidos/peticiones/Escaneo 2025/104/1/RS_O-IPP-104.1-OFICIO F.pdf</v>
      </c>
      <c r="G139" t="str">
        <f>TRIM(MID(replaceSt(E139,"\","\\"),1,lastSt1("\",replaceSt(E139,"\","\\")))&amp;TRIM(C139))</f>
        <v>Escaneo 2025\\104\\1\\RS_O-IPP-104.1-OFICIO F.pdf</v>
      </c>
      <c r="H139" t="str">
        <f>"notFoundFile.append('"&amp;TRIM(C139)&amp;"')"</f>
        <v>notFoundFile.append('RS_O-IPP-104.1-OFICIO F.pdf')</v>
      </c>
      <c r="I139" t="str">
        <f>"notFoundWeb.append('"&amp;F139&amp;"')"</f>
        <v>notFoundWeb.append('Documentos compartidos/peticiones/Escaneo 2025/104/1/RS_O-IPP-104.1-OFICIO F.pdf')</v>
      </c>
      <c r="J139" t="str">
        <f>"notFoundLocal.append('"&amp;G139&amp;"')"</f>
        <v>notFoundLocal.append('Escaneo 2025\\104\\1\\RS_O-IPP-104.1-OFICIO F.pdf')</v>
      </c>
    </row>
    <row r="140" spans="1:10" x14ac:dyDescent="0.25">
      <c r="A140">
        <v>269</v>
      </c>
      <c r="B140">
        <f>LEN(C140)</f>
        <v>20</v>
      </c>
      <c r="C140" t="s">
        <v>151</v>
      </c>
      <c r="D140" t="s">
        <v>152</v>
      </c>
      <c r="E140" t="s">
        <v>153</v>
      </c>
      <c r="F140" t="str">
        <f>TRIM(MID(D140,1,lastSt1("/",D140))&amp;TRIM(C140))</f>
        <v>Documentos compartidos/peticiones/Escaneo 2025/104/1/RS_SI_IPP_104.1.docx</v>
      </c>
      <c r="G140" t="str">
        <f>TRIM(MID(replaceSt(E140,"\","\\"),1,lastSt1("\",replaceSt(E140,"\","\\")))&amp;TRIM(C140))</f>
        <v>Escaneo 2025\\104\\1\\RS_SI_IPP_104.1.docx</v>
      </c>
      <c r="H140" t="str">
        <f>"notFoundFile.append('"&amp;TRIM(C140)&amp;"')"</f>
        <v>notFoundFile.append('RS_SI_IPP_104.1.docx')</v>
      </c>
      <c r="I140" t="str">
        <f>"notFoundWeb.append('"&amp;F140&amp;"')"</f>
        <v>notFoundWeb.append('Documentos compartidos/peticiones/Escaneo 2025/104/1/RS_SI_IPP_104.1.docx')</v>
      </c>
      <c r="J140" t="str">
        <f>"notFoundLocal.append('"&amp;G140&amp;"')"</f>
        <v>notFoundLocal.append('Escaneo 2025\\104\\1\\RS_SI_IPP_104.1.docx')</v>
      </c>
    </row>
    <row r="141" spans="1:10" x14ac:dyDescent="0.25">
      <c r="A141">
        <v>161</v>
      </c>
      <c r="B141">
        <f>LEN(C141)</f>
        <v>26</v>
      </c>
      <c r="C141" t="s">
        <v>154</v>
      </c>
      <c r="D141" t="s">
        <v>155</v>
      </c>
      <c r="E141" t="s">
        <v>156</v>
      </c>
      <c r="F141" t="str">
        <f>TRIM(MID(D141,1,lastSt1("/",D141))&amp;TRIM(C141))</f>
        <v>Documentos compartidos/peticiones/Escaneo 2025/104/2/RS_O IPP 104.2 OFICIO.docx</v>
      </c>
      <c r="G141" t="str">
        <f>TRIM(MID(replaceSt(E141,"\","\\"),1,lastSt1("\",replaceSt(E141,"\","\\")))&amp;TRIM(C141))</f>
        <v>Escaneo 2025\\104\\2\\RS_O IPP 104.2 OFICIO.docx</v>
      </c>
      <c r="H141" t="str">
        <f>"notFoundFile.append('"&amp;TRIM(C141)&amp;"')"</f>
        <v>notFoundFile.append('RS_O IPP 104.2 OFICIO.docx')</v>
      </c>
      <c r="I141" t="str">
        <f>"notFoundWeb.append('"&amp;F141&amp;"')"</f>
        <v>notFoundWeb.append('Documentos compartidos/peticiones/Escaneo 2025/104/2/RS_O IPP 104.2 OFICIO.docx')</v>
      </c>
      <c r="J141" t="str">
        <f>"notFoundLocal.append('"&amp;G141&amp;"')"</f>
        <v>notFoundLocal.append('Escaneo 2025\\104\\2\\RS_O IPP 104.2 OFICIO.docx')</v>
      </c>
    </row>
    <row r="142" spans="1:10" x14ac:dyDescent="0.25">
      <c r="A142">
        <v>89</v>
      </c>
      <c r="B142">
        <f>LEN(C142)</f>
        <v>25</v>
      </c>
      <c r="C142" t="s">
        <v>509</v>
      </c>
      <c r="D142" t="s">
        <v>510</v>
      </c>
      <c r="E142" t="s">
        <v>511</v>
      </c>
      <c r="F142" t="str">
        <f>TRIM(MID(D142,1,lastSt1("/",D142))&amp;TRIM(C142))</f>
        <v>Documentos compartidos/peticiones/Escaneo 2025/095/RS_O-IPP-095-OFICIO F.pdf</v>
      </c>
      <c r="G142" t="str">
        <f>TRIM(MID(replaceSt(E142,"\","\\"),1,lastSt1("\",replaceSt(E142,"\","\\")))&amp;TRIM(C142))</f>
        <v>Escaneo 2025\\095\\RS_O-IPP-095-OFICIO F.pdf</v>
      </c>
      <c r="H142" t="str">
        <f>"notFoundFile.append('"&amp;TRIM(C142)&amp;"')"</f>
        <v>notFoundFile.append('RS_O-IPP-095-OFICIO F.pdf')</v>
      </c>
      <c r="I142" t="str">
        <f>"notFoundWeb.append('"&amp;F142&amp;"')"</f>
        <v>notFoundWeb.append('Documentos compartidos/peticiones/Escaneo 2025/095/RS_O-IPP-095-OFICIO F.pdf')</v>
      </c>
      <c r="J142" t="str">
        <f>"notFoundLocal.append('"&amp;G142&amp;"')"</f>
        <v>notFoundLocal.append('Escaneo 2025\\095\\RS_O-IPP-095-OFICIO F.pdf')</v>
      </c>
    </row>
    <row r="143" spans="1:10" x14ac:dyDescent="0.25">
      <c r="A143">
        <v>10</v>
      </c>
      <c r="B143">
        <f>LEN(C143)</f>
        <v>19</v>
      </c>
      <c r="C143" t="s">
        <v>157</v>
      </c>
      <c r="D143" t="s">
        <v>158</v>
      </c>
      <c r="E143" t="s">
        <v>159</v>
      </c>
      <c r="F143" t="str">
        <f>TRIM(MID(D143,1,lastSt1("/",D143))&amp;TRIM(C143))</f>
        <v>Documentos compartidos/peticiones/Escaneo 2025/194/RS_OIPP194 rev.docx</v>
      </c>
      <c r="G143" t="str">
        <f>TRIM(MID(replaceSt(E143,"\","\\"),1,lastSt1("\",replaceSt(E143,"\","\\")))&amp;TRIM(C143))</f>
        <v>Escaneo 2025\\194\\RS_OIPP194 rev.docx</v>
      </c>
      <c r="H143" t="str">
        <f>"notFoundFile.append('"&amp;TRIM(C143)&amp;"')"</f>
        <v>notFoundFile.append('RS_OIPP194 rev.docx')</v>
      </c>
      <c r="I143" t="str">
        <f>"notFoundWeb.append('"&amp;F143&amp;"')"</f>
        <v>notFoundWeb.append('Documentos compartidos/peticiones/Escaneo 2025/194/RS_OIPP194 rev.docx')</v>
      </c>
      <c r="J143" t="str">
        <f>"notFoundLocal.append('"&amp;G143&amp;"')"</f>
        <v>notFoundLocal.append('Escaneo 2025\\194\\RS_OIPP194 rev.docx')</v>
      </c>
    </row>
    <row r="144" spans="1:10" x14ac:dyDescent="0.25">
      <c r="A144">
        <v>196</v>
      </c>
      <c r="B144">
        <f>LEN(C144)</f>
        <v>32</v>
      </c>
      <c r="C144" t="s">
        <v>512</v>
      </c>
      <c r="D144" t="s">
        <v>513</v>
      </c>
      <c r="E144" t="s">
        <v>514</v>
      </c>
      <c r="F144" t="str">
        <f>TRIM(MID(D144,1,lastSt1("/",D144))&amp;TRIM(C144))</f>
        <v>Documentos compartidos/peticiones/Escaneo 2025/239/IN_CódPen-RF-Art-209Sxy207Sp.pdf</v>
      </c>
      <c r="G144" t="str">
        <f>TRIM(MID(replaceSt(E144,"\","\\"),1,lastSt1("\",replaceSt(E144,"\","\\")))&amp;TRIM(C144))</f>
        <v>Escaneo 2025\\239\\IN_CódPen-RF-Art-209Sxy207Sp.pdf</v>
      </c>
      <c r="H144" t="str">
        <f>"notFoundFile.append('"&amp;TRIM(C144)&amp;"')"</f>
        <v>notFoundFile.append('IN_CódPen-RF-Art-209Sxy207Sp.pdf')</v>
      </c>
      <c r="I144" t="str">
        <f>"notFoundWeb.append('"&amp;F144&amp;"')"</f>
        <v>notFoundWeb.append('Documentos compartidos/peticiones/Escaneo 2025/239/IN_CódPen-RF-Art-209Sxy207Sp.pdf')</v>
      </c>
      <c r="J144" t="str">
        <f>"notFoundLocal.append('"&amp;G144&amp;"')"</f>
        <v>notFoundLocal.append('Escaneo 2025\\239\\IN_CódPen-RF-Art-209Sxy207Sp.pdf')</v>
      </c>
    </row>
    <row r="145" spans="1:10" x14ac:dyDescent="0.25">
      <c r="A145">
        <v>167</v>
      </c>
      <c r="B145">
        <f>LEN(C145)</f>
        <v>19</v>
      </c>
      <c r="C145" t="s">
        <v>160</v>
      </c>
      <c r="D145" t="s">
        <v>161</v>
      </c>
      <c r="E145" t="s">
        <v>162</v>
      </c>
      <c r="F145" t="str">
        <f>TRIM(MID(D145,1,lastSt1("/",D145))&amp;TRIM(C145))</f>
        <v>Documentos compartidos/peticiones/Escaneo 2025/239/EN_FOLIO 002203.pdf</v>
      </c>
      <c r="G145" t="str">
        <f>TRIM(MID(replaceSt(E145,"\","\\"),1,lastSt1("\",replaceSt(E145,"\","\\")))&amp;TRIM(C145))</f>
        <v>Escaneo 2025\\239\\EN_FOLIO 002203.pdf</v>
      </c>
      <c r="H145" t="str">
        <f>"notFoundFile.append('"&amp;TRIM(C145)&amp;"')"</f>
        <v>notFoundFile.append('EN_FOLIO 002203.pdf')</v>
      </c>
      <c r="I145" t="str">
        <f>"notFoundWeb.append('"&amp;F145&amp;"')"</f>
        <v>notFoundWeb.append('Documentos compartidos/peticiones/Escaneo 2025/239/EN_FOLIO 002203.pdf')</v>
      </c>
      <c r="J145" t="str">
        <f>"notFoundLocal.append('"&amp;G145&amp;"')"</f>
        <v>notFoundLocal.append('Escaneo 2025\\239\\EN_FOLIO 002203.pdf')</v>
      </c>
    </row>
    <row r="146" spans="1:10" x14ac:dyDescent="0.25">
      <c r="A146">
        <v>91</v>
      </c>
      <c r="B146">
        <f>LEN(C146)</f>
        <v>33</v>
      </c>
      <c r="C146" t="s">
        <v>515</v>
      </c>
      <c r="D146" t="s">
        <v>516</v>
      </c>
      <c r="E146" t="s">
        <v>517</v>
      </c>
      <c r="F146" t="str">
        <f>TRIM(MID(D146,1,lastSt1("/",D146))&amp;TRIM(C146))</f>
        <v>Documentos compartidos/peticiones/Escaneo 2025/210/IN_LeyFertilizantes-Bienestar.pdf</v>
      </c>
      <c r="G146" t="str">
        <f>TRIM(MID(replaceSt(E146,"\","\\"),1,lastSt1("\",replaceSt(E146,"\","\\")))&amp;TRIM(C146))</f>
        <v>Escaneo 2025\\210\\IN_LeyFertilizantes-Bienestar.pdf</v>
      </c>
      <c r="H146" t="str">
        <f>"notFoundFile.append('"&amp;TRIM(C146)&amp;"')"</f>
        <v>notFoundFile.append('IN_LeyFertilizantes-Bienestar.pdf')</v>
      </c>
      <c r="I146" t="str">
        <f>"notFoundWeb.append('"&amp;F146&amp;"')"</f>
        <v>notFoundWeb.append('Documentos compartidos/peticiones/Escaneo 2025/210/IN_LeyFertilizantes-Bienestar.pdf')</v>
      </c>
      <c r="J146" t="str">
        <f>"notFoundLocal.append('"&amp;G146&amp;"')"</f>
        <v>notFoundLocal.append('Escaneo 2025\\210\\IN_LeyFertilizantes-Bienestar.pdf')</v>
      </c>
    </row>
    <row r="147" spans="1:10" x14ac:dyDescent="0.25">
      <c r="A147">
        <v>23</v>
      </c>
      <c r="B147">
        <f>LEN(C147)</f>
        <v>19</v>
      </c>
      <c r="C147" t="s">
        <v>518</v>
      </c>
      <c r="D147" t="s">
        <v>519</v>
      </c>
      <c r="E147" t="s">
        <v>520</v>
      </c>
      <c r="F147" t="str">
        <f>TRIM(MID(D147,1,lastSt1("/",D147))&amp;TRIM(C147))</f>
        <v>Documentos compartidos/peticiones/Escaneo 2025/210/VL_IPP-210-Rev.docx</v>
      </c>
      <c r="G147" t="str">
        <f>TRIM(MID(replaceSt(E147,"\","\\"),1,lastSt1("\",replaceSt(E147,"\","\\")))&amp;TRIM(C147))</f>
        <v>Escaneo 2025\\210\\VL_IPP-210-Rev.docx</v>
      </c>
      <c r="H147" t="str">
        <f>"notFoundFile.append('"&amp;TRIM(C147)&amp;"')"</f>
        <v>notFoundFile.append('VL_IPP-210-Rev.docx')</v>
      </c>
      <c r="I147" t="str">
        <f>"notFoundWeb.append('"&amp;F147&amp;"')"</f>
        <v>notFoundWeb.append('Documentos compartidos/peticiones/Escaneo 2025/210/VL_IPP-210-Rev.docx')</v>
      </c>
      <c r="J147" t="str">
        <f>"notFoundLocal.append('"&amp;G147&amp;"')"</f>
        <v>notFoundLocal.append('Escaneo 2025\\210\\VL_IPP-210-Rev.docx')</v>
      </c>
    </row>
    <row r="148" spans="1:10" x14ac:dyDescent="0.25">
      <c r="A148">
        <v>139</v>
      </c>
      <c r="B148">
        <f>LEN(C148)</f>
        <v>25</v>
      </c>
      <c r="C148" t="s">
        <v>521</v>
      </c>
      <c r="D148" t="s">
        <v>522</v>
      </c>
      <c r="E148" t="s">
        <v>523</v>
      </c>
      <c r="F148" t="str">
        <f>TRIM(MID(D148,1,lastSt1("/",D148))&amp;TRIM(C148))</f>
        <v>Documentos compartidos/peticiones/Escaneo 2025/210/RS_O-IPP-210-OFICIO F.pdf</v>
      </c>
      <c r="G148" t="str">
        <f>TRIM(MID(replaceSt(E148,"\","\\"),1,lastSt1("\",replaceSt(E148,"\","\\")))&amp;TRIM(C148))</f>
        <v>Escaneo 2025\\210\\RS_O-IPP-210-OFICIO F.pdf</v>
      </c>
      <c r="H148" t="str">
        <f>"notFoundFile.append('"&amp;TRIM(C148)&amp;"')"</f>
        <v>notFoundFile.append('RS_O-IPP-210-OFICIO F.pdf')</v>
      </c>
      <c r="I148" t="str">
        <f>"notFoundWeb.append('"&amp;F148&amp;"')"</f>
        <v>notFoundWeb.append('Documentos compartidos/peticiones/Escaneo 2025/210/RS_O-IPP-210-OFICIO F.pdf')</v>
      </c>
      <c r="J148" t="str">
        <f>"notFoundLocal.append('"&amp;G148&amp;"')"</f>
        <v>notFoundLocal.append('Escaneo 2025\\210\\RS_O-IPP-210-OFICIO F.pdf')</v>
      </c>
    </row>
    <row r="149" spans="1:10" x14ac:dyDescent="0.25">
      <c r="A149">
        <v>123</v>
      </c>
      <c r="B149">
        <f>LEN(C149)</f>
        <v>19</v>
      </c>
      <c r="C149" t="s">
        <v>163</v>
      </c>
      <c r="D149" t="s">
        <v>164</v>
      </c>
      <c r="E149" t="s">
        <v>165</v>
      </c>
      <c r="F149" t="str">
        <f>TRIM(MID(D149,1,lastSt1("/",D149))&amp;TRIM(C149))</f>
        <v>Documentos compartidos/peticiones/Escaneo 2025/210/EN_FOLIO 002178.pdf</v>
      </c>
      <c r="G149" t="str">
        <f>TRIM(MID(replaceSt(E149,"\","\\"),1,lastSt1("\",replaceSt(E149,"\","\\")))&amp;TRIM(C149))</f>
        <v>Escaneo 2025\\210\\EN_FOLIO 002178.pdf</v>
      </c>
      <c r="H149" t="str">
        <f>"notFoundFile.append('"&amp;TRIM(C149)&amp;"')"</f>
        <v>notFoundFile.append('EN_FOLIO 002178.pdf')</v>
      </c>
      <c r="I149" t="str">
        <f>"notFoundWeb.append('"&amp;F149&amp;"')"</f>
        <v>notFoundWeb.append('Documentos compartidos/peticiones/Escaneo 2025/210/EN_FOLIO 002178.pdf')</v>
      </c>
      <c r="J149" t="str">
        <f>"notFoundLocal.append('"&amp;G149&amp;"')"</f>
        <v>notFoundLocal.append('Escaneo 2025\\210\\EN_FOLIO 002178.pdf')</v>
      </c>
    </row>
    <row r="150" spans="1:10" x14ac:dyDescent="0.25">
      <c r="A150">
        <v>38</v>
      </c>
      <c r="B150">
        <f>LEN(C150)</f>
        <v>30</v>
      </c>
      <c r="C150" t="s">
        <v>524</v>
      </c>
      <c r="D150" t="s">
        <v>525</v>
      </c>
      <c r="E150" t="s">
        <v>526</v>
      </c>
      <c r="F150" t="str">
        <f>TRIM(MID(D150,1,lastSt1("/",D150))&amp;TRIM(C150))</f>
        <v>Documentos compartidos/peticiones/Escaneo 2025/229/IN_LeyMujeres-ViolenciaGén.pdf</v>
      </c>
      <c r="G150" t="str">
        <f>TRIM(MID(replaceSt(E150,"\","\\"),1,lastSt1("\",replaceSt(E150,"\","\\")))&amp;TRIM(C150))</f>
        <v>Escaneo 2025\\229\\IN_LeyMujeres-ViolenciaGén.pdf</v>
      </c>
      <c r="H150" t="str">
        <f>"notFoundFile.append('"&amp;TRIM(C150)&amp;"')"</f>
        <v>notFoundFile.append('IN_LeyMujeres-ViolenciaGén.pdf')</v>
      </c>
      <c r="I150" t="str">
        <f>"notFoundWeb.append('"&amp;F150&amp;"')"</f>
        <v>notFoundWeb.append('Documentos compartidos/peticiones/Escaneo 2025/229/IN_LeyMujeres-ViolenciaGén.pdf')</v>
      </c>
      <c r="J150" t="str">
        <f>"notFoundLocal.append('"&amp;G150&amp;"')"</f>
        <v>notFoundLocal.append('Escaneo 2025\\229\\IN_LeyMujeres-ViolenciaGén.pdf')</v>
      </c>
    </row>
    <row r="151" spans="1:10" x14ac:dyDescent="0.25">
      <c r="A151">
        <v>215</v>
      </c>
      <c r="B151">
        <f>LEN(C151)</f>
        <v>19</v>
      </c>
      <c r="C151" t="s">
        <v>166</v>
      </c>
      <c r="D151" t="s">
        <v>167</v>
      </c>
      <c r="E151" t="s">
        <v>168</v>
      </c>
      <c r="F151" t="str">
        <f>TRIM(MID(D151,1,lastSt1("/",D151))&amp;TRIM(C151))</f>
        <v>Documentos compartidos/peticiones/Escaneo 2025/229/EN_FOLIO 002194.pdf</v>
      </c>
      <c r="G151" t="str">
        <f>TRIM(MID(replaceSt(E151,"\","\\"),1,lastSt1("\",replaceSt(E151,"\","\\")))&amp;TRIM(C151))</f>
        <v>Escaneo 2025\\229\\EN_FOLIO 002194.pdf</v>
      </c>
      <c r="H151" t="str">
        <f>"notFoundFile.append('"&amp;TRIM(C151)&amp;"')"</f>
        <v>notFoundFile.append('EN_FOLIO 002194.pdf')</v>
      </c>
      <c r="I151" t="str">
        <f>"notFoundWeb.append('"&amp;F151&amp;"')"</f>
        <v>notFoundWeb.append('Documentos compartidos/peticiones/Escaneo 2025/229/EN_FOLIO 002194.pdf')</v>
      </c>
      <c r="J151" t="str">
        <f>"notFoundLocal.append('"&amp;G151&amp;"')"</f>
        <v>notFoundLocal.append('Escaneo 2025\\229\\EN_FOLIO 002194.pdf')</v>
      </c>
    </row>
    <row r="152" spans="1:10" x14ac:dyDescent="0.25">
      <c r="A152">
        <v>261</v>
      </c>
      <c r="B152">
        <f>LEN(C152)</f>
        <v>28</v>
      </c>
      <c r="C152" t="s">
        <v>527</v>
      </c>
      <c r="D152" t="s">
        <v>528</v>
      </c>
      <c r="E152" t="s">
        <v>529</v>
      </c>
      <c r="F152" t="str">
        <f>TRIM(MID(D152,1,lastSt1("/",D152))&amp;TRIM(C152))</f>
        <v>Documentos compartidos/peticiones/Escaneo 2025/047/10/RS_O-IPP-047.10-OFICIO F.pdf</v>
      </c>
      <c r="G152" t="str">
        <f>TRIM(MID(replaceSt(E152,"\","\\"),1,lastSt1("\",replaceSt(E152,"\","\\")))&amp;TRIM(C152))</f>
        <v>Escaneo 2025\\047\\10\\RS_O-IPP-047.10-OFICIO F.pdf</v>
      </c>
      <c r="H152" t="str">
        <f>"notFoundFile.append('"&amp;TRIM(C152)&amp;"')"</f>
        <v>notFoundFile.append('RS_O-IPP-047.10-OFICIO F.pdf')</v>
      </c>
      <c r="I152" t="str">
        <f>"notFoundWeb.append('"&amp;F152&amp;"')"</f>
        <v>notFoundWeb.append('Documentos compartidos/peticiones/Escaneo 2025/047/10/RS_O-IPP-047.10-OFICIO F.pdf')</v>
      </c>
      <c r="J152" t="str">
        <f>"notFoundLocal.append('"&amp;G152&amp;"')"</f>
        <v>notFoundLocal.append('Escaneo 2025\\047\\10\\RS_O-IPP-047.10-OFICIO F.pdf')</v>
      </c>
    </row>
    <row r="153" spans="1:10" x14ac:dyDescent="0.25">
      <c r="A153">
        <v>148</v>
      </c>
      <c r="B153">
        <f>LEN(C153)</f>
        <v>27</v>
      </c>
      <c r="C153" t="s">
        <v>530</v>
      </c>
      <c r="D153" t="s">
        <v>531</v>
      </c>
      <c r="E153" t="s">
        <v>532</v>
      </c>
      <c r="F153" t="str">
        <f>TRIM(MID(D153,1,lastSt1("/",D153))&amp;TRIM(C153))</f>
        <v>Documentos compartidos/peticiones/Escaneo 2025/047/1/RS_O-IPP-047.1-OFICIO F.pdf</v>
      </c>
      <c r="G153" t="str">
        <f>TRIM(MID(replaceSt(E153,"\","\\"),1,lastSt1("\",replaceSt(E153,"\","\\")))&amp;TRIM(C153))</f>
        <v>Escaneo 2025\\047\\1\\RS_O-IPP-047.1-OFICIO F.pdf</v>
      </c>
      <c r="H153" t="str">
        <f>"notFoundFile.append('"&amp;TRIM(C153)&amp;"')"</f>
        <v>notFoundFile.append('RS_O-IPP-047.1-OFICIO F.pdf')</v>
      </c>
      <c r="I153" t="str">
        <f>"notFoundWeb.append('"&amp;F153&amp;"')"</f>
        <v>notFoundWeb.append('Documentos compartidos/peticiones/Escaneo 2025/047/1/RS_O-IPP-047.1-OFICIO F.pdf')</v>
      </c>
      <c r="J153" t="str">
        <f>"notFoundLocal.append('"&amp;G153&amp;"')"</f>
        <v>notFoundLocal.append('Escaneo 2025\\047\\1\\RS_O-IPP-047.1-OFICIO F.pdf')</v>
      </c>
    </row>
    <row r="154" spans="1:10" x14ac:dyDescent="0.25">
      <c r="A154">
        <v>213</v>
      </c>
      <c r="B154">
        <f>LEN(C154)</f>
        <v>27</v>
      </c>
      <c r="C154" t="s">
        <v>533</v>
      </c>
      <c r="D154" t="s">
        <v>534</v>
      </c>
      <c r="E154" t="s">
        <v>535</v>
      </c>
      <c r="F154" t="str">
        <f>TRIM(MID(D154,1,lastSt1("/",D154))&amp;TRIM(C154))</f>
        <v>Documentos compartidos/peticiones/Escaneo 2025/225/IN_LeyProtPersMigrantes.pdf</v>
      </c>
      <c r="G154" t="str">
        <f>TRIM(MID(replaceSt(E154,"\","\\"),1,lastSt1("\",replaceSt(E154,"\","\\")))&amp;TRIM(C154))</f>
        <v>Escaneo 2025\\225\\IN_LeyProtPersMigrantes.pdf</v>
      </c>
      <c r="H154" t="str">
        <f>"notFoundFile.append('"&amp;TRIM(C154)&amp;"')"</f>
        <v>notFoundFile.append('IN_LeyProtPersMigrantes.pdf')</v>
      </c>
      <c r="I154" t="str">
        <f>"notFoundWeb.append('"&amp;F154&amp;"')"</f>
        <v>notFoundWeb.append('Documentos compartidos/peticiones/Escaneo 2025/225/IN_LeyProtPersMigrantes.pdf')</v>
      </c>
      <c r="J154" t="str">
        <f>"notFoundLocal.append('"&amp;G154&amp;"')"</f>
        <v>notFoundLocal.append('Escaneo 2025\\225\\IN_LeyProtPersMigrantes.pdf')</v>
      </c>
    </row>
    <row r="155" spans="1:10" x14ac:dyDescent="0.25">
      <c r="A155">
        <v>46</v>
      </c>
      <c r="B155">
        <f>LEN(C155)</f>
        <v>19</v>
      </c>
      <c r="C155" t="s">
        <v>169</v>
      </c>
      <c r="D155" t="s">
        <v>170</v>
      </c>
      <c r="E155" t="s">
        <v>171</v>
      </c>
      <c r="F155" t="str">
        <f>TRIM(MID(D155,1,lastSt1("/",D155))&amp;TRIM(C155))</f>
        <v>Documentos compartidos/peticiones/Escaneo 2025/225/EN_FOLIO 002190.pdf</v>
      </c>
      <c r="G155" t="str">
        <f>TRIM(MID(replaceSt(E155,"\","\\"),1,lastSt1("\",replaceSt(E155,"\","\\")))&amp;TRIM(C155))</f>
        <v>Escaneo 2025\\225\\EN_FOLIO 002190.pdf</v>
      </c>
      <c r="H155" t="str">
        <f>"notFoundFile.append('"&amp;TRIM(C155)&amp;"')"</f>
        <v>notFoundFile.append('EN_FOLIO 002190.pdf')</v>
      </c>
      <c r="I155" t="str">
        <f>"notFoundWeb.append('"&amp;F155&amp;"')"</f>
        <v>notFoundWeb.append('Documentos compartidos/peticiones/Escaneo 2025/225/EN_FOLIO 002190.pdf')</v>
      </c>
      <c r="J155" t="str">
        <f>"notFoundLocal.append('"&amp;G155&amp;"')"</f>
        <v>notFoundLocal.append('Escaneo 2025\\225\\EN_FOLIO 002190.pdf')</v>
      </c>
    </row>
    <row r="156" spans="1:10" x14ac:dyDescent="0.25">
      <c r="A156">
        <v>21</v>
      </c>
      <c r="B156">
        <f>LEN(C156)</f>
        <v>26</v>
      </c>
      <c r="C156" t="s">
        <v>536</v>
      </c>
      <c r="D156" t="s">
        <v>537</v>
      </c>
      <c r="E156" t="s">
        <v>538</v>
      </c>
      <c r="F156" t="str">
        <f>TRIM(MID(D156,1,lastSt1("/",D156))&amp;TRIM(C156))</f>
        <v>Documentos compartidos/peticiones/Escaneo 2025/215/IN_CódPenal-Art-293Bis.pdf</v>
      </c>
      <c r="G156" t="str">
        <f>TRIM(MID(replaceSt(E156,"\","\\"),1,lastSt1("\",replaceSt(E156,"\","\\")))&amp;TRIM(C156))</f>
        <v>Escaneo 2025\\215\\IN_CódPenal-Art-293Bis.pdf</v>
      </c>
      <c r="H156" t="str">
        <f>"notFoundFile.append('"&amp;TRIM(C156)&amp;"')"</f>
        <v>notFoundFile.append('IN_CódPenal-Art-293Bis.pdf')</v>
      </c>
      <c r="I156" t="str">
        <f>"notFoundWeb.append('"&amp;F156&amp;"')"</f>
        <v>notFoundWeb.append('Documentos compartidos/peticiones/Escaneo 2025/215/IN_CódPenal-Art-293Bis.pdf')</v>
      </c>
      <c r="J156" t="str">
        <f>"notFoundLocal.append('"&amp;G156&amp;"')"</f>
        <v>notFoundLocal.append('Escaneo 2025\\215\\IN_CódPenal-Art-293Bis.pdf')</v>
      </c>
    </row>
    <row r="157" spans="1:10" x14ac:dyDescent="0.25">
      <c r="A157">
        <v>97</v>
      </c>
      <c r="B157">
        <f>LEN(C157)</f>
        <v>19</v>
      </c>
      <c r="C157" t="s">
        <v>172</v>
      </c>
      <c r="D157" t="s">
        <v>173</v>
      </c>
      <c r="E157" t="s">
        <v>174</v>
      </c>
      <c r="F157" t="str">
        <f>TRIM(MID(D157,1,lastSt1("/",D157))&amp;TRIM(C157))</f>
        <v>Documentos compartidos/peticiones/Escaneo 2025/215/EN_FOLIO 002183.pdf</v>
      </c>
      <c r="G157" t="str">
        <f>TRIM(MID(replaceSt(E157,"\","\\"),1,lastSt1("\",replaceSt(E157,"\","\\")))&amp;TRIM(C157))</f>
        <v>Escaneo 2025\\215\\EN_FOLIO 002183.pdf</v>
      </c>
      <c r="H157" t="str">
        <f>"notFoundFile.append('"&amp;TRIM(C157)&amp;"')"</f>
        <v>notFoundFile.append('EN_FOLIO 002183.pdf')</v>
      </c>
      <c r="I157" t="str">
        <f>"notFoundWeb.append('"&amp;F157&amp;"')"</f>
        <v>notFoundWeb.append('Documentos compartidos/peticiones/Escaneo 2025/215/EN_FOLIO 002183.pdf')</v>
      </c>
      <c r="J157" t="str">
        <f>"notFoundLocal.append('"&amp;G157&amp;"')"</f>
        <v>notFoundLocal.append('Escaneo 2025\\215\\EN_FOLIO 002183.pdf')</v>
      </c>
    </row>
    <row r="158" spans="1:10" x14ac:dyDescent="0.25">
      <c r="A158">
        <v>159</v>
      </c>
      <c r="B158">
        <f>LEN(C158)</f>
        <v>21</v>
      </c>
      <c r="C158" t="s">
        <v>539</v>
      </c>
      <c r="D158" t="s">
        <v>540</v>
      </c>
      <c r="E158" t="s">
        <v>541</v>
      </c>
      <c r="F158" t="str">
        <f>TRIM(MID(D158,1,lastSt1("/",D158))&amp;TRIM(C158))</f>
        <v>Documentos compartidos/peticiones/Escaneo 2025/209/IN_LeyAguasNales-.pdf</v>
      </c>
      <c r="G158" t="str">
        <f>TRIM(MID(replaceSt(E158,"\","\\"),1,lastSt1("\",replaceSt(E158,"\","\\")))&amp;TRIM(C158))</f>
        <v>Escaneo 2025\\209\\IN_LeyAguasNales-.pdf</v>
      </c>
      <c r="H158" t="str">
        <f>"notFoundFile.append('"&amp;TRIM(C158)&amp;"')"</f>
        <v>notFoundFile.append('IN_LeyAguasNales-.pdf')</v>
      </c>
      <c r="I158" t="str">
        <f>"notFoundWeb.append('"&amp;F158&amp;"')"</f>
        <v>notFoundWeb.append('Documentos compartidos/peticiones/Escaneo 2025/209/IN_LeyAguasNales-.pdf')</v>
      </c>
      <c r="J158" t="str">
        <f>"notFoundLocal.append('"&amp;G158&amp;"')"</f>
        <v>notFoundLocal.append('Escaneo 2025\\209\\IN_LeyAguasNales-.pdf')</v>
      </c>
    </row>
    <row r="159" spans="1:10" x14ac:dyDescent="0.25">
      <c r="A159">
        <v>121</v>
      </c>
      <c r="B159">
        <f>LEN(C159)</f>
        <v>25</v>
      </c>
      <c r="C159" t="s">
        <v>644</v>
      </c>
      <c r="D159" t="s">
        <v>645</v>
      </c>
      <c r="E159" t="s">
        <v>646</v>
      </c>
      <c r="F159" t="str">
        <f>TRIM(MID(D159,1,lastSt1("/",D159))&amp;TRIM(C159))</f>
        <v>Documentos compartidos/peticiones/Escaneo 2025/209/RS_O-IPP-209-OFICIO F.pdf</v>
      </c>
      <c r="G159" t="str">
        <f>TRIM(MID(replaceSt(E159,"\","\\"),1,lastSt1("\",replaceSt(E159,"\","\\")))&amp;TRIM(C159))</f>
        <v>Escaneo 2025\\209\\RS_O-IPP-209-OFICIO F.pdf</v>
      </c>
      <c r="H159" t="str">
        <f>"notFoundFile.append('"&amp;TRIM(C159)&amp;"')"</f>
        <v>notFoundFile.append('RS_O-IPP-209-OFICIO F.pdf')</v>
      </c>
      <c r="I159" t="str">
        <f>"notFoundWeb.append('"&amp;F159&amp;"')"</f>
        <v>notFoundWeb.append('Documentos compartidos/peticiones/Escaneo 2025/209/RS_O-IPP-209-OFICIO F.pdf')</v>
      </c>
      <c r="J159" t="str">
        <f>"notFoundLocal.append('"&amp;G159&amp;"')"</f>
        <v>notFoundLocal.append('Escaneo 2025\\209\\RS_O-IPP-209-OFICIO F.pdf')</v>
      </c>
    </row>
    <row r="160" spans="1:10" x14ac:dyDescent="0.25">
      <c r="A160">
        <v>208</v>
      </c>
      <c r="B160">
        <f>LEN(C160)</f>
        <v>19</v>
      </c>
      <c r="C160" t="s">
        <v>175</v>
      </c>
      <c r="D160" t="s">
        <v>176</v>
      </c>
      <c r="E160" t="s">
        <v>177</v>
      </c>
      <c r="F160" t="str">
        <f>TRIM(MID(D160,1,lastSt1("/",D160))&amp;TRIM(C160))</f>
        <v>Documentos compartidos/peticiones/Escaneo 2025/209/EN_FOLIO 002177.pdf</v>
      </c>
      <c r="G160" t="str">
        <f>TRIM(MID(replaceSt(E160,"\","\\"),1,lastSt1("\",replaceSt(E160,"\","\\")))&amp;TRIM(C160))</f>
        <v>Escaneo 2025\\209\\EN_FOLIO 002177.pdf</v>
      </c>
      <c r="H160" t="str">
        <f>"notFoundFile.append('"&amp;TRIM(C160)&amp;"')"</f>
        <v>notFoundFile.append('EN_FOLIO 002177.pdf')</v>
      </c>
      <c r="I160" t="str">
        <f>"notFoundWeb.append('"&amp;F160&amp;"')"</f>
        <v>notFoundWeb.append('Documentos compartidos/peticiones/Escaneo 2025/209/EN_FOLIO 002177.pdf')</v>
      </c>
      <c r="J160" t="str">
        <f>"notFoundLocal.append('"&amp;G160&amp;"')"</f>
        <v>notFoundLocal.append('Escaneo 2025\\209\\EN_FOLIO 002177.pdf')</v>
      </c>
    </row>
    <row r="161" spans="1:10" x14ac:dyDescent="0.25">
      <c r="A161">
        <v>217</v>
      </c>
      <c r="B161">
        <f>LEN(C161)</f>
        <v>17</v>
      </c>
      <c r="C161" t="s">
        <v>178</v>
      </c>
      <c r="D161" t="s">
        <v>179</v>
      </c>
      <c r="E161" t="s">
        <v>180</v>
      </c>
      <c r="F161" t="str">
        <f>TRIM(MID(D161,1,lastSt1("/",D161))&amp;TRIM(C161))</f>
        <v>Documentos compartidos/peticiones/Escaneo 2025/209/RS_O_IPP 209.docx</v>
      </c>
      <c r="G161" t="str">
        <f>TRIM(MID(replaceSt(E161,"\","\\"),1,lastSt1("\",replaceSt(E161,"\","\\")))&amp;TRIM(C161))</f>
        <v>Escaneo 2025\\209\\RS_O_IPP 209.docx</v>
      </c>
      <c r="H161" t="str">
        <f>"notFoundFile.append('"&amp;TRIM(C161)&amp;"')"</f>
        <v>notFoundFile.append('RS_O_IPP 209.docx')</v>
      </c>
      <c r="I161" t="str">
        <f>"notFoundWeb.append('"&amp;F161&amp;"')"</f>
        <v>notFoundWeb.append('Documentos compartidos/peticiones/Escaneo 2025/209/RS_O_IPP 209.docx')</v>
      </c>
      <c r="J161" t="str">
        <f>"notFoundLocal.append('"&amp;G161&amp;"')"</f>
        <v>notFoundLocal.append('Escaneo 2025\\209\\RS_O_IPP 209.docx')</v>
      </c>
    </row>
    <row r="162" spans="1:10" x14ac:dyDescent="0.25">
      <c r="A162">
        <v>268</v>
      </c>
      <c r="B162">
        <f>LEN(C162)</f>
        <v>30</v>
      </c>
      <c r="C162" t="s">
        <v>542</v>
      </c>
      <c r="D162" t="s">
        <v>543</v>
      </c>
      <c r="E162" t="s">
        <v>544</v>
      </c>
      <c r="F162" t="str">
        <f>TRIM(MID(D162,1,lastSt1("/",D162))&amp;TRIM(C162))</f>
        <v>Documentos compartidos/peticiones/Escaneo 2025/248/1/IN_LeyInclPersDiscapacidad.pdf</v>
      </c>
      <c r="G162" t="str">
        <f>TRIM(MID(replaceSt(E162,"\","\\"),1,lastSt1("\",replaceSt(E162,"\","\\")))&amp;TRIM(C162))</f>
        <v>Escaneo 2025\\248\\1\\IN_LeyInclPersDiscapacidad.pdf</v>
      </c>
      <c r="H162" t="str">
        <f>"notFoundFile.append('"&amp;TRIM(C162)&amp;"')"</f>
        <v>notFoundFile.append('IN_LeyInclPersDiscapacidad.pdf')</v>
      </c>
      <c r="I162" t="str">
        <f>"notFoundWeb.append('"&amp;F162&amp;"')"</f>
        <v>notFoundWeb.append('Documentos compartidos/peticiones/Escaneo 2025/248/1/IN_LeyInclPersDiscapacidad.pdf')</v>
      </c>
      <c r="J162" t="str">
        <f>"notFoundLocal.append('"&amp;G162&amp;"')"</f>
        <v>notFoundLocal.append('Escaneo 2025\\248\\1\\IN_LeyInclPersDiscapacidad.pdf')</v>
      </c>
    </row>
    <row r="163" spans="1:10" x14ac:dyDescent="0.25">
      <c r="A163">
        <v>126</v>
      </c>
      <c r="B163">
        <f>LEN(C163)</f>
        <v>19</v>
      </c>
      <c r="C163" t="s">
        <v>181</v>
      </c>
      <c r="D163" t="s">
        <v>182</v>
      </c>
      <c r="E163" t="s">
        <v>183</v>
      </c>
      <c r="F163" t="str">
        <f>TRIM(MID(D163,1,lastSt1("/",D163))&amp;TRIM(C163))</f>
        <v>Documentos compartidos/peticiones/Escaneo 2025/248/1/EN_FOLIO 002208.pdf</v>
      </c>
      <c r="G163" t="str">
        <f>TRIM(MID(replaceSt(E163,"\","\\"),1,lastSt1("\",replaceSt(E163,"\","\\")))&amp;TRIM(C163))</f>
        <v>Escaneo 2025\\248\\1\\EN_FOLIO 002208.pdf</v>
      </c>
      <c r="H163" t="str">
        <f>"notFoundFile.append('"&amp;TRIM(C163)&amp;"')"</f>
        <v>notFoundFile.append('EN_FOLIO 002208.pdf')</v>
      </c>
      <c r="I163" t="str">
        <f>"notFoundWeb.append('"&amp;F163&amp;"')"</f>
        <v>notFoundWeb.append('Documentos compartidos/peticiones/Escaneo 2025/248/1/EN_FOLIO 002208.pdf')</v>
      </c>
      <c r="J163" t="str">
        <f>"notFoundLocal.append('"&amp;G163&amp;"')"</f>
        <v>notFoundLocal.append('Escaneo 2025\\248\\1\\EN_FOLIO 002208.pdf')</v>
      </c>
    </row>
    <row r="164" spans="1:10" x14ac:dyDescent="0.25">
      <c r="A164">
        <v>54</v>
      </c>
      <c r="B164">
        <f>LEN(C164)</f>
        <v>26</v>
      </c>
      <c r="C164" t="s">
        <v>545</v>
      </c>
      <c r="D164" t="s">
        <v>546</v>
      </c>
      <c r="E164" t="s">
        <v>547</v>
      </c>
      <c r="F164" t="str">
        <f>TRIM(MID(D164,1,lastSt1("/",D164))&amp;TRIM(C164))</f>
        <v>Documentos compartidos/peticiones/Escaneo 2025/248/2/IN_LeyPersDisc-Art2y17.pdf</v>
      </c>
      <c r="G164" t="str">
        <f>TRIM(MID(replaceSt(E164,"\","\\"),1,lastSt1("\",replaceSt(E164,"\","\\")))&amp;TRIM(C164))</f>
        <v>Escaneo 2025\\248\\2\\IN_LeyPersDisc-Art2y17.pdf</v>
      </c>
      <c r="H164" t="str">
        <f>"notFoundFile.append('"&amp;TRIM(C164)&amp;"')"</f>
        <v>notFoundFile.append('IN_LeyPersDisc-Art2y17.pdf')</v>
      </c>
      <c r="I164" t="str">
        <f>"notFoundWeb.append('"&amp;F164&amp;"')"</f>
        <v>notFoundWeb.append('Documentos compartidos/peticiones/Escaneo 2025/248/2/IN_LeyPersDisc-Art2y17.pdf')</v>
      </c>
      <c r="J164" t="str">
        <f>"notFoundLocal.append('"&amp;G164&amp;"')"</f>
        <v>notFoundLocal.append('Escaneo 2025\\248\\2\\IN_LeyPersDisc-Art2y17.pdf')</v>
      </c>
    </row>
    <row r="165" spans="1:10" x14ac:dyDescent="0.25">
      <c r="A165">
        <v>189</v>
      </c>
      <c r="B165">
        <f>LEN(C165)</f>
        <v>19</v>
      </c>
      <c r="C165" t="s">
        <v>181</v>
      </c>
      <c r="D165" t="s">
        <v>184</v>
      </c>
      <c r="E165" t="s">
        <v>185</v>
      </c>
      <c r="F165" t="str">
        <f>TRIM(MID(D165,1,lastSt1("/",D165))&amp;TRIM(C165))</f>
        <v>Documentos compartidos/peticiones/Escaneo 2025/248/2/EN_FOLIO 002208.pdf</v>
      </c>
      <c r="G165" t="str">
        <f>TRIM(MID(replaceSt(E165,"\","\\"),1,lastSt1("\",replaceSt(E165,"\","\\")))&amp;TRIM(C165))</f>
        <v>Escaneo 2025\\248\\2\\EN_FOLIO 002208.pdf</v>
      </c>
      <c r="H165" t="str">
        <f>"notFoundFile.append('"&amp;TRIM(C165)&amp;"')"</f>
        <v>notFoundFile.append('EN_FOLIO 002208.pdf')</v>
      </c>
      <c r="I165" t="str">
        <f>"notFoundWeb.append('"&amp;F165&amp;"')"</f>
        <v>notFoundWeb.append('Documentos compartidos/peticiones/Escaneo 2025/248/2/EN_FOLIO 002208.pdf')</v>
      </c>
      <c r="J165" t="str">
        <f>"notFoundLocal.append('"&amp;G165&amp;"')"</f>
        <v>notFoundLocal.append('Escaneo 2025\\248\\2\\EN_FOLIO 002208.pdf')</v>
      </c>
    </row>
    <row r="166" spans="1:10" x14ac:dyDescent="0.25">
      <c r="A166">
        <v>243</v>
      </c>
      <c r="B166">
        <f>LEN(C166)</f>
        <v>27</v>
      </c>
      <c r="C166" t="s">
        <v>548</v>
      </c>
      <c r="D166" t="s">
        <v>549</v>
      </c>
      <c r="E166" t="s">
        <v>550</v>
      </c>
      <c r="F166" t="str">
        <f>TRIM(MID(D166,1,lastSt1("/",D166))&amp;TRIM(C166))</f>
        <v>Documentos compartidos/peticiones/Escaneo 2025/244/IN_Abandono-LeyMujeres.docx</v>
      </c>
      <c r="G166" t="str">
        <f>TRIM(MID(replaceSt(E166,"\","\\"),1,lastSt1("\",replaceSt(E166,"\","\\")))&amp;TRIM(C166))</f>
        <v>Escaneo 2025\\244\\IN_Abandono-LeyMujeres.docx</v>
      </c>
      <c r="H166" t="str">
        <f>"notFoundFile.append('"&amp;TRIM(C166)&amp;"')"</f>
        <v>notFoundFile.append('IN_Abandono-LeyMujeres.docx')</v>
      </c>
      <c r="I166" t="str">
        <f>"notFoundWeb.append('"&amp;F166&amp;"')"</f>
        <v>notFoundWeb.append('Documentos compartidos/peticiones/Escaneo 2025/244/IN_Abandono-LeyMujeres.docx')</v>
      </c>
      <c r="J166" t="str">
        <f>"notFoundLocal.append('"&amp;G166&amp;"')"</f>
        <v>notFoundLocal.append('Escaneo 2025\\244\\IN_Abandono-LeyMujeres.docx')</v>
      </c>
    </row>
    <row r="167" spans="1:10" x14ac:dyDescent="0.25">
      <c r="A167">
        <v>181</v>
      </c>
      <c r="B167">
        <f>LEN(C167)</f>
        <v>35</v>
      </c>
      <c r="C167" t="s">
        <v>551</v>
      </c>
      <c r="D167" t="s">
        <v>552</v>
      </c>
      <c r="E167" t="s">
        <v>553</v>
      </c>
      <c r="F167" t="str">
        <f>TRIM(MID(D167,1,lastSt1("/",D167))&amp;TRIM(C167))</f>
        <v>Documentos compartidos/peticiones/Escaneo 2025/241/IN_CódPen-SustTx-Abejas-Art-414.pdf</v>
      </c>
      <c r="G167" t="str">
        <f>TRIM(MID(replaceSt(E167,"\","\\"),1,lastSt1("\",replaceSt(E167,"\","\\")))&amp;TRIM(C167))</f>
        <v>Escaneo 2025\\241\\IN_CódPen-SustTx-Abejas-Art-414.pdf</v>
      </c>
      <c r="H167" t="str">
        <f>"notFoundFile.append('"&amp;TRIM(C167)&amp;"')"</f>
        <v>notFoundFile.append('IN_CódPen-SustTx-Abejas-Art-414.pdf')</v>
      </c>
      <c r="I167" t="str">
        <f>"notFoundWeb.append('"&amp;F167&amp;"')"</f>
        <v>notFoundWeb.append('Documentos compartidos/peticiones/Escaneo 2025/241/IN_CódPen-SustTx-Abejas-Art-414.pdf')</v>
      </c>
      <c r="J167" t="str">
        <f>"notFoundLocal.append('"&amp;G167&amp;"')"</f>
        <v>notFoundLocal.append('Escaneo 2025\\241\\IN_CódPen-SustTx-Abejas-Art-414.pdf')</v>
      </c>
    </row>
    <row r="168" spans="1:10" x14ac:dyDescent="0.25">
      <c r="A168">
        <v>144</v>
      </c>
      <c r="B168">
        <f>LEN(C168)</f>
        <v>19</v>
      </c>
      <c r="C168" t="s">
        <v>186</v>
      </c>
      <c r="D168" t="s">
        <v>187</v>
      </c>
      <c r="E168" t="s">
        <v>188</v>
      </c>
      <c r="F168" t="str">
        <f>TRIM(MID(D168,1,lastSt1("/",D168))&amp;TRIM(C168))</f>
        <v>Documentos compartidos/peticiones/Escaneo 2025/241/EN_FOLIO 002205.pdf</v>
      </c>
      <c r="G168" t="str">
        <f>TRIM(MID(replaceSt(E168,"\","\\"),1,lastSt1("\",replaceSt(E168,"\","\\")))&amp;TRIM(C168))</f>
        <v>Escaneo 2025\\241\\EN_FOLIO 002205.pdf</v>
      </c>
      <c r="H168" t="str">
        <f>"notFoundFile.append('"&amp;TRIM(C168)&amp;"')"</f>
        <v>notFoundFile.append('EN_FOLIO 002205.pdf')</v>
      </c>
      <c r="I168" t="str">
        <f>"notFoundWeb.append('"&amp;F168&amp;"')"</f>
        <v>notFoundWeb.append('Documentos compartidos/peticiones/Escaneo 2025/241/EN_FOLIO 002205.pdf')</v>
      </c>
      <c r="J168" t="str">
        <f>"notFoundLocal.append('"&amp;G168&amp;"')"</f>
        <v>notFoundLocal.append('Escaneo 2025\\241\\EN_FOLIO 002205.pdf')</v>
      </c>
    </row>
    <row r="169" spans="1:10" x14ac:dyDescent="0.25">
      <c r="A169">
        <v>249</v>
      </c>
      <c r="B169">
        <f>LEN(C169)</f>
        <v>19</v>
      </c>
      <c r="C169" t="s">
        <v>189</v>
      </c>
      <c r="D169" t="s">
        <v>190</v>
      </c>
      <c r="E169" t="s">
        <v>191</v>
      </c>
      <c r="F169" t="str">
        <f>TRIM(MID(D169,1,lastSt1("/",D169))&amp;TRIM(C169))</f>
        <v>Documentos compartidos/peticiones/Escaneo 2025/245/EN_FOLIO 002209.pdf</v>
      </c>
      <c r="G169" t="str">
        <f>TRIM(MID(replaceSt(E169,"\","\\"),1,lastSt1("\",replaceSt(E169,"\","\\")))&amp;TRIM(C169))</f>
        <v>Escaneo 2025\\245\\EN_FOLIO 002209.pdf</v>
      </c>
      <c r="H169" t="str">
        <f>"notFoundFile.append('"&amp;TRIM(C169)&amp;"')"</f>
        <v>notFoundFile.append('EN_FOLIO 002209.pdf')</v>
      </c>
      <c r="I169" t="str">
        <f>"notFoundWeb.append('"&amp;F169&amp;"')"</f>
        <v>notFoundWeb.append('Documentos compartidos/peticiones/Escaneo 2025/245/EN_FOLIO 002209.pdf')</v>
      </c>
      <c r="J169" t="str">
        <f>"notFoundLocal.append('"&amp;G169&amp;"')"</f>
        <v>notFoundLocal.append('Escaneo 2025\\245\\EN_FOLIO 002209.pdf')</v>
      </c>
    </row>
    <row r="170" spans="1:10" x14ac:dyDescent="0.25">
      <c r="A170">
        <v>272</v>
      </c>
      <c r="B170">
        <f>LEN(C170)</f>
        <v>21</v>
      </c>
      <c r="C170" t="s">
        <v>554</v>
      </c>
      <c r="D170" t="s">
        <v>555</v>
      </c>
      <c r="E170" t="s">
        <v>556</v>
      </c>
      <c r="F170" t="str">
        <f>TRIM(MID(D170,1,lastSt1("/",D170))&amp;TRIM(C170))</f>
        <v>Documentos compartidos/peticiones/Escaneo 2025/245/IN_LeyInstSeguros.pdf</v>
      </c>
      <c r="G170" t="str">
        <f>TRIM(MID(replaceSt(E170,"\","\\"),1,lastSt1("\",replaceSt(E170,"\","\\")))&amp;TRIM(C170))</f>
        <v>Escaneo 2025\\245\\IN_LeyInstSeguros.pdf</v>
      </c>
      <c r="H170" t="str">
        <f>"notFoundFile.append('"&amp;TRIM(C170)&amp;"')"</f>
        <v>notFoundFile.append('IN_LeyInstSeguros.pdf')</v>
      </c>
      <c r="I170" t="str">
        <f>"notFoundWeb.append('"&amp;F170&amp;"')"</f>
        <v>notFoundWeb.append('Documentos compartidos/peticiones/Escaneo 2025/245/IN_LeyInstSeguros.pdf')</v>
      </c>
      <c r="J170" t="str">
        <f>"notFoundLocal.append('"&amp;G170&amp;"')"</f>
        <v>notFoundLocal.append('Escaneo 2025\\245\\IN_LeyInstSeguros.pdf')</v>
      </c>
    </row>
    <row r="171" spans="1:10" x14ac:dyDescent="0.25">
      <c r="A171">
        <v>229</v>
      </c>
      <c r="B171">
        <f>LEN(C171)</f>
        <v>29</v>
      </c>
      <c r="C171" t="s">
        <v>557</v>
      </c>
      <c r="D171" t="s">
        <v>558</v>
      </c>
      <c r="E171" t="s">
        <v>559</v>
      </c>
      <c r="F171" t="str">
        <f>TRIM(MID(D171,1,lastSt1("/",D171))&amp;TRIM(C171))</f>
        <v>Documentos compartidos/peticiones/Escaneo 2025/219/RS_IFO Policías 219-2025.docx</v>
      </c>
      <c r="G171" t="str">
        <f>TRIM(MID(replaceSt(E171,"\","\\"),1,lastSt1("\",replaceSt(E171,"\","\\")))&amp;TRIM(C171))</f>
        <v>Escaneo 2025\\219\\RS_IFO Policías 219-2025.docx</v>
      </c>
      <c r="H171" t="str">
        <f>"notFoundFile.append('"&amp;TRIM(C171)&amp;"')"</f>
        <v>notFoundFile.append('RS_IFO Policías 219-2025.docx')</v>
      </c>
      <c r="I171" t="str">
        <f>"notFoundWeb.append('"&amp;F171&amp;"')"</f>
        <v>notFoundWeb.append('Documentos compartidos/peticiones/Escaneo 2025/219/RS_IFO Policías 219-2025.docx')</v>
      </c>
      <c r="J171" t="str">
        <f>"notFoundLocal.append('"&amp;G171&amp;"')"</f>
        <v>notFoundLocal.append('Escaneo 2025\\219\\RS_IFO Policías 219-2025.docx')</v>
      </c>
    </row>
    <row r="172" spans="1:10" x14ac:dyDescent="0.25">
      <c r="A172">
        <v>206</v>
      </c>
      <c r="B172">
        <f>LEN(C172)</f>
        <v>28</v>
      </c>
      <c r="C172" t="s">
        <v>647</v>
      </c>
      <c r="D172" t="s">
        <v>648</v>
      </c>
      <c r="E172" t="s">
        <v>649</v>
      </c>
      <c r="F172" t="str">
        <f>TRIM(MID(D172,1,lastSt1("/",D172))&amp;TRIM(C172))</f>
        <v>Documentos compartidos/peticiones/Escaneo 2025/219/WK_Censo2024-SdosSegPub.xlsx</v>
      </c>
      <c r="G172" t="str">
        <f>TRIM(MID(replaceSt(E172,"\","\\"),1,lastSt1("\",replaceSt(E172,"\","\\")))&amp;TRIM(C172))</f>
        <v>Escaneo 2025\\219\\WK_Censo2024-SdosSegPub.xlsx</v>
      </c>
      <c r="H172" t="str">
        <f>"notFoundFile.append('"&amp;TRIM(C172)&amp;"')"</f>
        <v>notFoundFile.append('WK_Censo2024-SdosSegPub.xlsx')</v>
      </c>
      <c r="I172" t="str">
        <f>"notFoundWeb.append('"&amp;F172&amp;"')"</f>
        <v>notFoundWeb.append('Documentos compartidos/peticiones/Escaneo 2025/219/WK_Censo2024-SdosSegPub.xlsx')</v>
      </c>
      <c r="J172" t="str">
        <f>"notFoundLocal.append('"&amp;G172&amp;"')"</f>
        <v>notFoundLocal.append('Escaneo 2025\\219\\WK_Censo2024-SdosSegPub.xlsx')</v>
      </c>
    </row>
    <row r="173" spans="1:10" x14ac:dyDescent="0.25">
      <c r="A173">
        <v>41</v>
      </c>
      <c r="B173">
        <f>LEN(C173)</f>
        <v>30</v>
      </c>
      <c r="C173" t="s">
        <v>192</v>
      </c>
      <c r="D173" t="s">
        <v>193</v>
      </c>
      <c r="E173" t="s">
        <v>194</v>
      </c>
      <c r="F173" t="str">
        <f>TRIM(MID(D173,1,lastSt1("/",D173))&amp;TRIM(C173))</f>
        <v>Documentos compartidos/peticiones/Escaneo 2025/219/EN_GPPRISTLXVI-I-II1422025.pdf</v>
      </c>
      <c r="G173" t="str">
        <f>TRIM(MID(replaceSt(E173,"\","\\"),1,lastSt1("\",replaceSt(E173,"\","\\")))&amp;TRIM(C173))</f>
        <v>Escaneo 2025\\219\\EN_GPPRISTLXVI-I-II1422025.pdf</v>
      </c>
      <c r="H173" t="str">
        <f>"notFoundFile.append('"&amp;TRIM(C173)&amp;"')"</f>
        <v>notFoundFile.append('EN_GPPRISTLXVI-I-II1422025.pdf')</v>
      </c>
      <c r="I173" t="str">
        <f>"notFoundWeb.append('"&amp;F173&amp;"')"</f>
        <v>notFoundWeb.append('Documentos compartidos/peticiones/Escaneo 2025/219/EN_GPPRISTLXVI-I-II1422025.pdf')</v>
      </c>
      <c r="J173" t="str">
        <f>"notFoundLocal.append('"&amp;G173&amp;"')"</f>
        <v>notFoundLocal.append('Escaneo 2025\\219\\EN_GPPRISTLXVI-I-II1422025.pdf')</v>
      </c>
    </row>
    <row r="174" spans="1:10" x14ac:dyDescent="0.25">
      <c r="A174">
        <v>285</v>
      </c>
      <c r="B174">
        <f>LEN(C174)</f>
        <v>25</v>
      </c>
      <c r="C174" t="s">
        <v>560</v>
      </c>
      <c r="D174" t="s">
        <v>561</v>
      </c>
      <c r="E174" t="s">
        <v>562</v>
      </c>
      <c r="F174" t="str">
        <f>TRIM(MID(D174,1,lastSt1("/",D174))&amp;TRIM(C174))</f>
        <v>Documentos compartidos/peticiones/Escaneo 2025/096/RS_O-IPP-096-OFICIO F.pdf</v>
      </c>
      <c r="G174" t="str">
        <f>TRIM(MID(replaceSt(E174,"\","\\"),1,lastSt1("\",replaceSt(E174,"\","\\")))&amp;TRIM(C174))</f>
        <v>Escaneo 2025\\096\\RS_O-IPP-096-OFICIO F.pdf</v>
      </c>
      <c r="H174" t="str">
        <f>"notFoundFile.append('"&amp;TRIM(C174)&amp;"')"</f>
        <v>notFoundFile.append('RS_O-IPP-096-OFICIO F.pdf')</v>
      </c>
      <c r="I174" t="str">
        <f>"notFoundWeb.append('"&amp;F174&amp;"')"</f>
        <v>notFoundWeb.append('Documentos compartidos/peticiones/Escaneo 2025/096/RS_O-IPP-096-OFICIO F.pdf')</v>
      </c>
      <c r="J174" t="str">
        <f>"notFoundLocal.append('"&amp;G174&amp;"')"</f>
        <v>notFoundLocal.append('Escaneo 2025\\096\\RS_O-IPP-096-OFICIO F.pdf')</v>
      </c>
    </row>
    <row r="175" spans="1:10" x14ac:dyDescent="0.25">
      <c r="A175">
        <v>158</v>
      </c>
      <c r="B175">
        <f>LEN(C175)</f>
        <v>22</v>
      </c>
      <c r="C175" t="s">
        <v>563</v>
      </c>
      <c r="D175" t="s">
        <v>564</v>
      </c>
      <c r="E175" t="s">
        <v>565</v>
      </c>
      <c r="F175" t="str">
        <f>TRIM(MID(D175,1,lastSt1("/",D175))&amp;TRIM(C175))</f>
        <v>Documentos compartidos/peticiones/Escaneo 2025/236/IN_LeyProtAnimales.pdf</v>
      </c>
      <c r="G175" t="str">
        <f>TRIM(MID(replaceSt(E175,"\","\\"),1,lastSt1("\",replaceSt(E175,"\","\\")))&amp;TRIM(C175))</f>
        <v>Escaneo 2025\\236\\IN_LeyProtAnimales.pdf</v>
      </c>
      <c r="H175" t="str">
        <f>"notFoundFile.append('"&amp;TRIM(C175)&amp;"')"</f>
        <v>notFoundFile.append('IN_LeyProtAnimales.pdf')</v>
      </c>
      <c r="I175" t="str">
        <f>"notFoundWeb.append('"&amp;F175&amp;"')"</f>
        <v>notFoundWeb.append('Documentos compartidos/peticiones/Escaneo 2025/236/IN_LeyProtAnimales.pdf')</v>
      </c>
      <c r="J175" t="str">
        <f>"notFoundLocal.append('"&amp;G175&amp;"')"</f>
        <v>notFoundLocal.append('Escaneo 2025\\236\\IN_LeyProtAnimales.pdf')</v>
      </c>
    </row>
    <row r="176" spans="1:10" x14ac:dyDescent="0.25">
      <c r="A176">
        <v>210</v>
      </c>
      <c r="B176">
        <f>LEN(C176)</f>
        <v>19</v>
      </c>
      <c r="C176" t="s">
        <v>195</v>
      </c>
      <c r="D176" t="s">
        <v>196</v>
      </c>
      <c r="E176" t="s">
        <v>197</v>
      </c>
      <c r="F176" t="str">
        <f>TRIM(MID(D176,1,lastSt1("/",D176))&amp;TRIM(C176))</f>
        <v>Documentos compartidos/peticiones/Escaneo 2025/236/EN_FOLIO 002200.pdf</v>
      </c>
      <c r="G176" t="str">
        <f>TRIM(MID(replaceSt(E176,"\","\\"),1,lastSt1("\",replaceSt(E176,"\","\\")))&amp;TRIM(C176))</f>
        <v>Escaneo 2025\\236\\EN_FOLIO 002200.pdf</v>
      </c>
      <c r="H176" t="str">
        <f>"notFoundFile.append('"&amp;TRIM(C176)&amp;"')"</f>
        <v>notFoundFile.append('EN_FOLIO 002200.pdf')</v>
      </c>
      <c r="I176" t="str">
        <f>"notFoundWeb.append('"&amp;F176&amp;"')"</f>
        <v>notFoundWeb.append('Documentos compartidos/peticiones/Escaneo 2025/236/EN_FOLIO 002200.pdf')</v>
      </c>
      <c r="J176" t="str">
        <f>"notFoundLocal.append('"&amp;G176&amp;"')"</f>
        <v>notFoundLocal.append('Escaneo 2025\\236\\EN_FOLIO 002200.pdf')</v>
      </c>
    </row>
    <row r="177" spans="1:10" x14ac:dyDescent="0.25">
      <c r="A177">
        <v>101</v>
      </c>
      <c r="B177">
        <f>LEN(C177)</f>
        <v>30</v>
      </c>
      <c r="C177" t="s">
        <v>198</v>
      </c>
      <c r="D177" t="s">
        <v>199</v>
      </c>
      <c r="E177" t="s">
        <v>200</v>
      </c>
      <c r="F177" t="str">
        <f>TRIM(MID(D177,1,lastSt1("/",D177))&amp;TRIM(C177))</f>
        <v>Documentos compartidos/peticiones/Escaneo 2025/090/RS_O IPP 090 2025 OFICIO F.pdf</v>
      </c>
      <c r="G177" t="str">
        <f>TRIM(MID(replaceSt(E177,"\","\\"),1,lastSt1("\",replaceSt(E177,"\","\\")))&amp;TRIM(C177))</f>
        <v>Escaneo 2025\\090\\RS_O IPP 090 2025 OFICIO F.pdf</v>
      </c>
      <c r="H177" t="str">
        <f>"notFoundFile.append('"&amp;TRIM(C177)&amp;"')"</f>
        <v>notFoundFile.append('RS_O IPP 090 2025 OFICIO F.pdf')</v>
      </c>
      <c r="I177" t="str">
        <f>"notFoundWeb.append('"&amp;F177&amp;"')"</f>
        <v>notFoundWeb.append('Documentos compartidos/peticiones/Escaneo 2025/090/RS_O IPP 090 2025 OFICIO F.pdf')</v>
      </c>
      <c r="J177" t="str">
        <f>"notFoundLocal.append('"&amp;G177&amp;"')"</f>
        <v>notFoundLocal.append('Escaneo 2025\\090\\RS_O IPP 090 2025 OFICIO F.pdf')</v>
      </c>
    </row>
    <row r="178" spans="1:10" x14ac:dyDescent="0.25">
      <c r="A178">
        <v>146</v>
      </c>
      <c r="B178">
        <f>LEN(C178)</f>
        <v>28</v>
      </c>
      <c r="C178" t="s">
        <v>566</v>
      </c>
      <c r="D178" t="s">
        <v>567</v>
      </c>
      <c r="E178" t="s">
        <v>568</v>
      </c>
      <c r="F178" t="str">
        <f>TRIM(MID(D178,1,lastSt1("/",D178))&amp;TRIM(C178))</f>
        <v>Documentos compartidos/peticiones/Escaneo 2025/022/16/RS_O-IPP-022.16-OFICIO F.pdf</v>
      </c>
      <c r="G178" t="str">
        <f>TRIM(MID(replaceSt(E178,"\","\\"),1,lastSt1("\",replaceSt(E178,"\","\\")))&amp;TRIM(C178))</f>
        <v>Escaneo 2025\\022\\16\\RS_O-IPP-022.16-OFICIO F.pdf</v>
      </c>
      <c r="H178" t="str">
        <f>"notFoundFile.append('"&amp;TRIM(C178)&amp;"')"</f>
        <v>notFoundFile.append('RS_O-IPP-022.16-OFICIO F.pdf')</v>
      </c>
      <c r="I178" t="str">
        <f>"notFoundWeb.append('"&amp;F178&amp;"')"</f>
        <v>notFoundWeb.append('Documentos compartidos/peticiones/Escaneo 2025/022/16/RS_O-IPP-022.16-OFICIO F.pdf')</v>
      </c>
      <c r="J178" t="str">
        <f>"notFoundLocal.append('"&amp;G178&amp;"')"</f>
        <v>notFoundLocal.append('Escaneo 2025\\022\\16\\RS_O-IPP-022.16-OFICIO F.pdf')</v>
      </c>
    </row>
    <row r="179" spans="1:10" x14ac:dyDescent="0.25">
      <c r="A179">
        <v>219</v>
      </c>
      <c r="B179">
        <f>LEN(C179)</f>
        <v>30</v>
      </c>
      <c r="C179" t="s">
        <v>201</v>
      </c>
      <c r="D179" t="s">
        <v>202</v>
      </c>
      <c r="E179" t="s">
        <v>203</v>
      </c>
      <c r="F179" t="str">
        <f>TRIM(MID(D179,1,lastSt1("/",D179))&amp;TRIM(C179))</f>
        <v>Documentos compartidos/peticiones/Escaneo 2025/151/RS_O IPP 151 2025 OFICIO F.pdf</v>
      </c>
      <c r="G179" t="str">
        <f>TRIM(MID(replaceSt(E179,"\","\\"),1,lastSt1("\",replaceSt(E179,"\","\\")))&amp;TRIM(C179))</f>
        <v>Escaneo 2025\\151\\RS_O IPP 151 2025 OFICIO F.pdf</v>
      </c>
      <c r="H179" t="str">
        <f>"notFoundFile.append('"&amp;TRIM(C179)&amp;"')"</f>
        <v>notFoundFile.append('RS_O IPP 151 2025 OFICIO F.pdf')</v>
      </c>
      <c r="I179" t="str">
        <f>"notFoundWeb.append('"&amp;F179&amp;"')"</f>
        <v>notFoundWeb.append('Documentos compartidos/peticiones/Escaneo 2025/151/RS_O IPP 151 2025 OFICIO F.pdf')</v>
      </c>
      <c r="J179" t="str">
        <f>"notFoundLocal.append('"&amp;G179&amp;"')"</f>
        <v>notFoundLocal.append('Escaneo 2025\\151\\RS_O IPP 151 2025 OFICIO F.pdf')</v>
      </c>
    </row>
    <row r="180" spans="1:10" x14ac:dyDescent="0.25">
      <c r="A180">
        <v>140</v>
      </c>
      <c r="B180">
        <f>LEN(C180)</f>
        <v>24</v>
      </c>
      <c r="C180" t="s">
        <v>204</v>
      </c>
      <c r="D180" t="s">
        <v>205</v>
      </c>
      <c r="E180" t="s">
        <v>206</v>
      </c>
      <c r="F180" t="str">
        <f>TRIM(MID(D180,1,lastSt1("/",D180))&amp;TRIM(C180))</f>
        <v>Documentos compartidos/peticiones/Escaneo 2025/151/RS_O IPP 151 OFICIO.docx</v>
      </c>
      <c r="G180" t="str">
        <f>TRIM(MID(replaceSt(E180,"\","\\"),1,lastSt1("\",replaceSt(E180,"\","\\")))&amp;TRIM(C180))</f>
        <v>Escaneo 2025\\151\\RS_O IPP 151 OFICIO.docx</v>
      </c>
      <c r="H180" t="str">
        <f>"notFoundFile.append('"&amp;TRIM(C180)&amp;"')"</f>
        <v>notFoundFile.append('RS_O IPP 151 OFICIO.docx')</v>
      </c>
      <c r="I180" t="str">
        <f>"notFoundWeb.append('"&amp;F180&amp;"')"</f>
        <v>notFoundWeb.append('Documentos compartidos/peticiones/Escaneo 2025/151/RS_O IPP 151 OFICIO.docx')</v>
      </c>
      <c r="J180" t="str">
        <f>"notFoundLocal.append('"&amp;G180&amp;"')"</f>
        <v>notFoundLocal.append('Escaneo 2025\\151\\RS_O IPP 151 OFICIO.docx')</v>
      </c>
    </row>
    <row r="181" spans="1:10" x14ac:dyDescent="0.25">
      <c r="A181">
        <v>152</v>
      </c>
      <c r="B181">
        <f>LEN(C181)</f>
        <v>19</v>
      </c>
      <c r="C181" t="s">
        <v>207</v>
      </c>
      <c r="D181" t="s">
        <v>208</v>
      </c>
      <c r="E181" t="s">
        <v>209</v>
      </c>
      <c r="F181" t="str">
        <f>TRIM(MID(D181,1,lastSt1("/",D181))&amp;TRIM(C181))</f>
        <v>Documentos compartidos/peticiones/Escaneo 2025/235/EN_FOLIO 002199.pdf</v>
      </c>
      <c r="G181" t="str">
        <f>TRIM(MID(replaceSt(E181,"\","\\"),1,lastSt1("\",replaceSt(E181,"\","\\")))&amp;TRIM(C181))</f>
        <v>Escaneo 2025\\235\\EN_FOLIO 002199.pdf</v>
      </c>
      <c r="H181" t="str">
        <f>"notFoundFile.append('"&amp;TRIM(C181)&amp;"')"</f>
        <v>notFoundFile.append('EN_FOLIO 002199.pdf')</v>
      </c>
      <c r="I181" t="str">
        <f>"notFoundWeb.append('"&amp;F181&amp;"')"</f>
        <v>notFoundWeb.append('Documentos compartidos/peticiones/Escaneo 2025/235/EN_FOLIO 002199.pdf')</v>
      </c>
      <c r="J181" t="str">
        <f>"notFoundLocal.append('"&amp;G181&amp;"')"</f>
        <v>notFoundLocal.append('Escaneo 2025\\235\\EN_FOLIO 002199.pdf')</v>
      </c>
    </row>
    <row r="182" spans="1:10" x14ac:dyDescent="0.25">
      <c r="A182">
        <v>232</v>
      </c>
      <c r="B182">
        <f>LEN(C182)</f>
        <v>30</v>
      </c>
      <c r="C182" t="s">
        <v>569</v>
      </c>
      <c r="D182" t="s">
        <v>570</v>
      </c>
      <c r="E182" t="s">
        <v>571</v>
      </c>
      <c r="F182" t="str">
        <f>TRIM(MID(D182,1,lastSt1("/",D182))&amp;TRIM(C182))</f>
        <v>Documentos compartidos/peticiones/Escaneo 2025/235/RS_O-IPP-235-eq-O-IPP-213.docx</v>
      </c>
      <c r="G182" t="str">
        <f>TRIM(MID(replaceSt(E182,"\","\\"),1,lastSt1("\",replaceSt(E182,"\","\\")))&amp;TRIM(C182))</f>
        <v>Escaneo 2025\\235\\RS_O-IPP-235-eq-O-IPP-213.docx</v>
      </c>
      <c r="H182" t="str">
        <f>"notFoundFile.append('"&amp;TRIM(C182)&amp;"')"</f>
        <v>notFoundFile.append('RS_O-IPP-235-eq-O-IPP-213.docx')</v>
      </c>
      <c r="I182" t="str">
        <f>"notFoundWeb.append('"&amp;F182&amp;"')"</f>
        <v>notFoundWeb.append('Documentos compartidos/peticiones/Escaneo 2025/235/RS_O-IPP-235-eq-O-IPP-213.docx')</v>
      </c>
      <c r="J182" t="str">
        <f>"notFoundLocal.append('"&amp;G182&amp;"')"</f>
        <v>notFoundLocal.append('Escaneo 2025\\235\\RS_O-IPP-235-eq-O-IPP-213.docx')</v>
      </c>
    </row>
    <row r="183" spans="1:10" x14ac:dyDescent="0.25">
      <c r="A183">
        <v>203</v>
      </c>
      <c r="B183">
        <f>LEN(C183)</f>
        <v>24</v>
      </c>
      <c r="C183" t="s">
        <v>572</v>
      </c>
      <c r="D183" t="s">
        <v>573</v>
      </c>
      <c r="E183" t="s">
        <v>574</v>
      </c>
      <c r="F183" t="str">
        <f>TRIM(MID(D183,1,lastSt1("/",D183))&amp;TRIM(C183))</f>
        <v>Documentos compartidos/peticiones/Escaneo 2025/235/IN_CódCivil-LeyNiñas.pdf</v>
      </c>
      <c r="G183" t="str">
        <f>TRIM(MID(replaceSt(E183,"\","\\"),1,lastSt1("\",replaceSt(E183,"\","\\")))&amp;TRIM(C183))</f>
        <v>Escaneo 2025\\235\\IN_CódCivil-LeyNiñas.pdf</v>
      </c>
      <c r="H183" t="str">
        <f>"notFoundFile.append('"&amp;TRIM(C183)&amp;"')"</f>
        <v>notFoundFile.append('IN_CódCivil-LeyNiñas.pdf')</v>
      </c>
      <c r="I183" t="str">
        <f>"notFoundWeb.append('"&amp;F183&amp;"')"</f>
        <v>notFoundWeb.append('Documentos compartidos/peticiones/Escaneo 2025/235/IN_CódCivil-LeyNiñas.pdf')</v>
      </c>
      <c r="J183" t="str">
        <f>"notFoundLocal.append('"&amp;G183&amp;"')"</f>
        <v>notFoundLocal.append('Escaneo 2025\\235\\IN_CódCivil-LeyNiñas.pdf')</v>
      </c>
    </row>
    <row r="184" spans="1:10" x14ac:dyDescent="0.25">
      <c r="A184">
        <v>288</v>
      </c>
      <c r="B184">
        <f>LEN(C184)</f>
        <v>25</v>
      </c>
      <c r="C184" t="s">
        <v>575</v>
      </c>
      <c r="D184" t="s">
        <v>576</v>
      </c>
      <c r="E184" t="s">
        <v>577</v>
      </c>
      <c r="F184" t="str">
        <f>TRIM(MID(D184,1,lastSt1("/",D184))&amp;TRIM(C184))</f>
        <v>Documentos compartidos/peticiones/Escaneo 2025/206/RS_O-IPP-206-OFICIO F.pdf</v>
      </c>
      <c r="G184" t="str">
        <f>TRIM(MID(replaceSt(E184,"\","\\"),1,lastSt1("\",replaceSt(E184,"\","\\")))&amp;TRIM(C184))</f>
        <v>Escaneo 2025\\206\\RS_O-IPP-206-OFICIO F.pdf</v>
      </c>
      <c r="H184" t="str">
        <f>"notFoundFile.append('"&amp;TRIM(C184)&amp;"')"</f>
        <v>notFoundFile.append('RS_O-IPP-206-OFICIO F.pdf')</v>
      </c>
      <c r="I184" t="str">
        <f>"notFoundWeb.append('"&amp;F184&amp;"')"</f>
        <v>notFoundWeb.append('Documentos compartidos/peticiones/Escaneo 2025/206/RS_O-IPP-206-OFICIO F.pdf')</v>
      </c>
      <c r="J184" t="str">
        <f>"notFoundLocal.append('"&amp;G184&amp;"')"</f>
        <v>notFoundLocal.append('Escaneo 2025\\206\\RS_O-IPP-206-OFICIO F.pdf')</v>
      </c>
    </row>
    <row r="185" spans="1:10" x14ac:dyDescent="0.25">
      <c r="A185">
        <v>99</v>
      </c>
      <c r="B185">
        <f>LEN(C185)</f>
        <v>29</v>
      </c>
      <c r="C185" t="s">
        <v>578</v>
      </c>
      <c r="D185" t="s">
        <v>579</v>
      </c>
      <c r="E185" t="s">
        <v>580</v>
      </c>
      <c r="F185" t="str">
        <f>TRIM(MID(D185,1,lastSt1("/",D185))&amp;TRIM(C185))</f>
        <v>Documentos compartidos/peticiones/Escaneo 2025/206/EN_Of-CDH-YLDS.SAT.136.25.pdf</v>
      </c>
      <c r="G185" t="str">
        <f>TRIM(MID(replaceSt(E185,"\","\\"),1,lastSt1("\",replaceSt(E185,"\","\\")))&amp;TRIM(C185))</f>
        <v>Escaneo 2025\\206\\EN_Of-CDH-YLDS.SAT.136.25.pdf</v>
      </c>
      <c r="H185" t="str">
        <f>"notFoundFile.append('"&amp;TRIM(C185)&amp;"')"</f>
        <v>notFoundFile.append('EN_Of-CDH-YLDS.SAT.136.25.pdf')</v>
      </c>
      <c r="I185" t="str">
        <f>"notFoundWeb.append('"&amp;F185&amp;"')"</f>
        <v>notFoundWeb.append('Documentos compartidos/peticiones/Escaneo 2025/206/EN_Of-CDH-YLDS.SAT.136.25.pdf')</v>
      </c>
      <c r="J185" t="str">
        <f>"notFoundLocal.append('"&amp;G185&amp;"')"</f>
        <v>notFoundLocal.append('Escaneo 2025\\206\\EN_Of-CDH-YLDS.SAT.136.25.pdf')</v>
      </c>
    </row>
    <row r="186" spans="1:10" x14ac:dyDescent="0.25">
      <c r="A186">
        <v>134</v>
      </c>
      <c r="B186">
        <f>LEN(C186)</f>
        <v>38</v>
      </c>
      <c r="C186" t="s">
        <v>581</v>
      </c>
      <c r="D186" t="s">
        <v>582</v>
      </c>
      <c r="E186" t="s">
        <v>583</v>
      </c>
      <c r="F186" t="str">
        <f>TRIM(MID(D186,1,lastSt1("/",D186))&amp;TRIM(C186))</f>
        <v>Documentos compartidos/peticiones/Escaneo 2025/206/IN_CódPenal-Art51-LeyDerHum-Art.45.pdf</v>
      </c>
      <c r="G186" t="str">
        <f>TRIM(MID(replaceSt(E186,"\","\\"),1,lastSt1("\",replaceSt(E186,"\","\\")))&amp;TRIM(C186))</f>
        <v>Escaneo 2025\\206\\IN_CódPenal-Art51-LeyDerHum-Art.45.pdf</v>
      </c>
      <c r="H186" t="str">
        <f>"notFoundFile.append('"&amp;TRIM(C186)&amp;"')"</f>
        <v>notFoundFile.append('IN_CódPenal-Art51-LeyDerHum-Art.45.pdf')</v>
      </c>
      <c r="I186" t="str">
        <f>"notFoundWeb.append('"&amp;F186&amp;"')"</f>
        <v>notFoundWeb.append('Documentos compartidos/peticiones/Escaneo 2025/206/IN_CódPenal-Art51-LeyDerHum-Art.45.pdf')</v>
      </c>
      <c r="J186" t="str">
        <f>"notFoundLocal.append('"&amp;G186&amp;"')"</f>
        <v>notFoundLocal.append('Escaneo 2025\\206\\IN_CódPenal-Art51-LeyDerHum-Art.45.pdf')</v>
      </c>
    </row>
    <row r="187" spans="1:10" x14ac:dyDescent="0.25">
      <c r="A187">
        <v>122</v>
      </c>
      <c r="B187">
        <f>LEN(C187)</f>
        <v>20</v>
      </c>
      <c r="C187" t="s">
        <v>210</v>
      </c>
      <c r="D187" t="s">
        <v>211</v>
      </c>
      <c r="E187" t="s">
        <v>212</v>
      </c>
      <c r="F187" t="str">
        <f>TRIM(MID(D187,1,lastSt1("/",D187))&amp;TRIM(C187))</f>
        <v>Documentos compartidos/peticiones/Escaneo 2025/207/EN_FOLIO. 002175.pdf</v>
      </c>
      <c r="G187" t="str">
        <f>TRIM(MID(replaceSt(E187,"\","\\"),1,lastSt1("\",replaceSt(E187,"\","\\")))&amp;TRIM(C187))</f>
        <v>Escaneo 2025\\207\\EN_FOLIO. 002175.pdf</v>
      </c>
      <c r="H187" t="str">
        <f>"notFoundFile.append('"&amp;TRIM(C187)&amp;"')"</f>
        <v>notFoundFile.append('EN_FOLIO. 002175.pdf')</v>
      </c>
      <c r="I187" t="str">
        <f>"notFoundWeb.append('"&amp;F187&amp;"')"</f>
        <v>notFoundWeb.append('Documentos compartidos/peticiones/Escaneo 2025/207/EN_FOLIO. 002175.pdf')</v>
      </c>
      <c r="J187" t="str">
        <f>"notFoundLocal.append('"&amp;G187&amp;"')"</f>
        <v>notFoundLocal.append('Escaneo 2025\\207\\EN_FOLIO. 002175.pdf')</v>
      </c>
    </row>
    <row r="188" spans="1:10" x14ac:dyDescent="0.25">
      <c r="A188">
        <v>176</v>
      </c>
      <c r="B188">
        <f>LEN(C188)</f>
        <v>25</v>
      </c>
      <c r="C188" t="s">
        <v>584</v>
      </c>
      <c r="D188" t="s">
        <v>585</v>
      </c>
      <c r="E188" t="s">
        <v>586</v>
      </c>
      <c r="F188" t="str">
        <f>TRIM(MID(D188,1,lastSt1("/",D188))&amp;TRIM(C188))</f>
        <v>Documentos compartidos/peticiones/Escaneo 2025/207/IN_LeyEdu-MenstrDigna.pdf</v>
      </c>
      <c r="G188" t="str">
        <f>TRIM(MID(replaceSt(E188,"\","\\"),1,lastSt1("\",replaceSt(E188,"\","\\")))&amp;TRIM(C188))</f>
        <v>Escaneo 2025\\207\\IN_LeyEdu-MenstrDigna.pdf</v>
      </c>
      <c r="H188" t="str">
        <f>"notFoundFile.append('"&amp;TRIM(C188)&amp;"')"</f>
        <v>notFoundFile.append('IN_LeyEdu-MenstrDigna.pdf')</v>
      </c>
      <c r="I188" t="str">
        <f>"notFoundWeb.append('"&amp;F188&amp;"')"</f>
        <v>notFoundWeb.append('Documentos compartidos/peticiones/Escaneo 2025/207/IN_LeyEdu-MenstrDigna.pdf')</v>
      </c>
      <c r="J188" t="str">
        <f>"notFoundLocal.append('"&amp;G188&amp;"')"</f>
        <v>notFoundLocal.append('Escaneo 2025\\207\\IN_LeyEdu-MenstrDigna.pdf')</v>
      </c>
    </row>
    <row r="189" spans="1:10" x14ac:dyDescent="0.25">
      <c r="A189">
        <v>258</v>
      </c>
      <c r="B189">
        <f>LEN(C189)</f>
        <v>30</v>
      </c>
      <c r="C189" t="s">
        <v>213</v>
      </c>
      <c r="D189" t="s">
        <v>214</v>
      </c>
      <c r="E189" t="s">
        <v>215</v>
      </c>
      <c r="F189" t="str">
        <f>TRIM(MID(D189,1,lastSt1("/",D189))&amp;TRIM(C189))</f>
        <v>Documentos compartidos/peticiones/Escaneo 2025/067/RS_O IPP 067 2025 OFICIO F.pdf</v>
      </c>
      <c r="G189" t="str">
        <f>TRIM(MID(replaceSt(E189,"\","\\"),1,lastSt1("\",replaceSt(E189,"\","\\")))&amp;TRIM(C189))</f>
        <v>Escaneo 2025\\067\\RS_O IPP 067 2025 OFICIO F.pdf</v>
      </c>
      <c r="H189" t="str">
        <f>"notFoundFile.append('"&amp;TRIM(C189)&amp;"')"</f>
        <v>notFoundFile.append('RS_O IPP 067 2025 OFICIO F.pdf')</v>
      </c>
      <c r="I189" t="str">
        <f>"notFoundWeb.append('"&amp;F189&amp;"')"</f>
        <v>notFoundWeb.append('Documentos compartidos/peticiones/Escaneo 2025/067/RS_O IPP 067 2025 OFICIO F.pdf')</v>
      </c>
      <c r="J189" t="str">
        <f>"notFoundLocal.append('"&amp;G189&amp;"')"</f>
        <v>notFoundLocal.append('Escaneo 2025\\067\\RS_O IPP 067 2025 OFICIO F.pdf')</v>
      </c>
    </row>
    <row r="190" spans="1:10" x14ac:dyDescent="0.25">
      <c r="A190">
        <v>57</v>
      </c>
      <c r="B190">
        <f>LEN(C190)</f>
        <v>25</v>
      </c>
      <c r="C190" t="s">
        <v>587</v>
      </c>
      <c r="D190" t="s">
        <v>588</v>
      </c>
      <c r="E190" t="s">
        <v>589</v>
      </c>
      <c r="F190" t="str">
        <f>TRIM(MID(D190,1,lastSt1("/",D190))&amp;TRIM(C190))</f>
        <v>Documentos compartidos/peticiones/Escaneo 2025/204/RS_O-IPP-204-OFICIO F.pdf</v>
      </c>
      <c r="G190" t="str">
        <f>TRIM(MID(replaceSt(E190,"\","\\"),1,lastSt1("\",replaceSt(E190,"\","\\")))&amp;TRIM(C190))</f>
        <v>Escaneo 2025\\204\\RS_O-IPP-204-OFICIO F.pdf</v>
      </c>
      <c r="H190" t="str">
        <f>"notFoundFile.append('"&amp;TRIM(C190)&amp;"')"</f>
        <v>notFoundFile.append('RS_O-IPP-204-OFICIO F.pdf')</v>
      </c>
      <c r="I190" t="str">
        <f>"notFoundWeb.append('"&amp;F190&amp;"')"</f>
        <v>notFoundWeb.append('Documentos compartidos/peticiones/Escaneo 2025/204/RS_O-IPP-204-OFICIO F.pdf')</v>
      </c>
      <c r="J190" t="str">
        <f>"notFoundLocal.append('"&amp;G190&amp;"')"</f>
        <v>notFoundLocal.append('Escaneo 2025\\204\\RS_O-IPP-204-OFICIO F.pdf')</v>
      </c>
    </row>
    <row r="191" spans="1:10" x14ac:dyDescent="0.25">
      <c r="A191">
        <v>32</v>
      </c>
      <c r="B191">
        <f>LEN(C191)</f>
        <v>19</v>
      </c>
      <c r="C191" t="s">
        <v>216</v>
      </c>
      <c r="D191" t="s">
        <v>217</v>
      </c>
      <c r="E191" t="s">
        <v>218</v>
      </c>
      <c r="F191" t="str">
        <f>TRIM(MID(D191,1,lastSt1("/",D191))&amp;TRIM(C191))</f>
        <v>Documentos compartidos/peticiones/Escaneo 2025/204/RS_OIPP204 rev.docx</v>
      </c>
      <c r="G191" t="str">
        <f>TRIM(MID(replaceSt(E191,"\","\\"),1,lastSt1("\",replaceSt(E191,"\","\\")))&amp;TRIM(C191))</f>
        <v>Escaneo 2025\\204\\RS_OIPP204 rev.docx</v>
      </c>
      <c r="H191" t="str">
        <f>"notFoundFile.append('"&amp;TRIM(C191)&amp;"')"</f>
        <v>notFoundFile.append('RS_OIPP204 rev.docx')</v>
      </c>
      <c r="I191" t="str">
        <f>"notFoundWeb.append('"&amp;F191&amp;"')"</f>
        <v>notFoundWeb.append('Documentos compartidos/peticiones/Escaneo 2025/204/RS_OIPP204 rev.docx')</v>
      </c>
      <c r="J191" t="str">
        <f>"notFoundLocal.append('"&amp;G191&amp;"')"</f>
        <v>notFoundLocal.append('Escaneo 2025\\204\\RS_OIPP204 rev.docx')</v>
      </c>
    </row>
    <row r="192" spans="1:10" x14ac:dyDescent="0.25">
      <c r="A192">
        <v>164</v>
      </c>
      <c r="B192">
        <f>LEN(C192)</f>
        <v>19</v>
      </c>
      <c r="C192" t="s">
        <v>219</v>
      </c>
      <c r="D192" t="s">
        <v>220</v>
      </c>
      <c r="E192" t="s">
        <v>221</v>
      </c>
      <c r="F192" t="str">
        <f>TRIM(MID(D192,1,lastSt1("/",D192))&amp;TRIM(C192))</f>
        <v>Documentos compartidos/peticiones/Escaneo 2025/204/EN_FOLIO 002173.pdf</v>
      </c>
      <c r="G192" t="str">
        <f>TRIM(MID(replaceSt(E192,"\","\\"),1,lastSt1("\",replaceSt(E192,"\","\\")))&amp;TRIM(C192))</f>
        <v>Escaneo 2025\\204\\EN_FOLIO 002173.pdf</v>
      </c>
      <c r="H192" t="str">
        <f>"notFoundFile.append('"&amp;TRIM(C192)&amp;"')"</f>
        <v>notFoundFile.append('EN_FOLIO 002173.pdf')</v>
      </c>
      <c r="I192" t="str">
        <f>"notFoundWeb.append('"&amp;F192&amp;"')"</f>
        <v>notFoundWeb.append('Documentos compartidos/peticiones/Escaneo 2025/204/EN_FOLIO 002173.pdf')</v>
      </c>
      <c r="J192" t="str">
        <f>"notFoundLocal.append('"&amp;G192&amp;"')"</f>
        <v>notFoundLocal.append('Escaneo 2025\\204\\EN_FOLIO 002173.pdf')</v>
      </c>
    </row>
    <row r="193" spans="1:10" x14ac:dyDescent="0.25">
      <c r="A193">
        <v>17</v>
      </c>
      <c r="B193">
        <f>LEN(C193)</f>
        <v>29</v>
      </c>
      <c r="C193" t="s">
        <v>590</v>
      </c>
      <c r="D193" t="s">
        <v>591</v>
      </c>
      <c r="E193" t="s">
        <v>592</v>
      </c>
      <c r="F193" t="str">
        <f>TRIM(MID(D193,1,lastSt1("/",D193))&amp;TRIM(C193))</f>
        <v>Documentos compartidos/peticiones/Escaneo 2025/204/IN_LeySeguridadPúb-Art-21.pdf</v>
      </c>
      <c r="G193" t="str">
        <f>TRIM(MID(replaceSt(E193,"\","\\"),1,lastSt1("\",replaceSt(E193,"\","\\")))&amp;TRIM(C193))</f>
        <v>Escaneo 2025\\204\\IN_LeySeguridadPúb-Art-21.pdf</v>
      </c>
      <c r="H193" t="str">
        <f>"notFoundFile.append('"&amp;TRIM(C193)&amp;"')"</f>
        <v>notFoundFile.append('IN_LeySeguridadPúb-Art-21.pdf')</v>
      </c>
      <c r="I193" t="str">
        <f>"notFoundWeb.append('"&amp;F193&amp;"')"</f>
        <v>notFoundWeb.append('Documentos compartidos/peticiones/Escaneo 2025/204/IN_LeySeguridadPúb-Art-21.pdf')</v>
      </c>
      <c r="J193" t="str">
        <f>"notFoundLocal.append('"&amp;G193&amp;"')"</f>
        <v>notFoundLocal.append('Escaneo 2025\\204\\IN_LeySeguridadPúb-Art-21.pdf')</v>
      </c>
    </row>
    <row r="194" spans="1:10" x14ac:dyDescent="0.25">
      <c r="A194">
        <v>78</v>
      </c>
      <c r="B194">
        <f>LEN(C194)</f>
        <v>32</v>
      </c>
      <c r="C194" t="s">
        <v>593</v>
      </c>
      <c r="D194" t="s">
        <v>594</v>
      </c>
      <c r="E194" t="s">
        <v>595</v>
      </c>
      <c r="F194" t="str">
        <f>TRIM(MID(D194,1,lastSt1("/",D194))&amp;TRIM(C194))</f>
        <v>Documentos compartidos/peticiones/Escaneo 2025/238/IN_LeyCambioClimatico-Art8y9.pdf</v>
      </c>
      <c r="G194" t="str">
        <f>TRIM(MID(replaceSt(E194,"\","\\"),1,lastSt1("\",replaceSt(E194,"\","\\")))&amp;TRIM(C194))</f>
        <v>Escaneo 2025\\238\\IN_LeyCambioClimatico-Art8y9.pdf</v>
      </c>
      <c r="H194" t="str">
        <f>"notFoundFile.append('"&amp;TRIM(C194)&amp;"')"</f>
        <v>notFoundFile.append('IN_LeyCambioClimatico-Art8y9.pdf')</v>
      </c>
      <c r="I194" t="str">
        <f>"notFoundWeb.append('"&amp;F194&amp;"')"</f>
        <v>notFoundWeb.append('Documentos compartidos/peticiones/Escaneo 2025/238/IN_LeyCambioClimatico-Art8y9.pdf')</v>
      </c>
      <c r="J194" t="str">
        <f>"notFoundLocal.append('"&amp;G194&amp;"')"</f>
        <v>notFoundLocal.append('Escaneo 2025\\238\\IN_LeyCambioClimatico-Art8y9.pdf')</v>
      </c>
    </row>
    <row r="195" spans="1:10" x14ac:dyDescent="0.25">
      <c r="A195">
        <v>145</v>
      </c>
      <c r="B195">
        <f>LEN(C195)</f>
        <v>19</v>
      </c>
      <c r="C195" t="s">
        <v>222</v>
      </c>
      <c r="D195" t="s">
        <v>223</v>
      </c>
      <c r="E195" t="s">
        <v>224</v>
      </c>
      <c r="F195" t="str">
        <f>TRIM(MID(D195,1,lastSt1("/",D195))&amp;TRIM(C195))</f>
        <v>Documentos compartidos/peticiones/Escaneo 2025/238/EN_FOLIO 002202.pdf</v>
      </c>
      <c r="G195" t="str">
        <f>TRIM(MID(replaceSt(E195,"\","\\"),1,lastSt1("\",replaceSt(E195,"\","\\")))&amp;TRIM(C195))</f>
        <v>Escaneo 2025\\238\\EN_FOLIO 002202.pdf</v>
      </c>
      <c r="H195" t="str">
        <f>"notFoundFile.append('"&amp;TRIM(C195)&amp;"')"</f>
        <v>notFoundFile.append('EN_FOLIO 002202.pdf')</v>
      </c>
      <c r="I195" t="str">
        <f>"notFoundWeb.append('"&amp;F195&amp;"')"</f>
        <v>notFoundWeb.append('Documentos compartidos/peticiones/Escaneo 2025/238/EN_FOLIO 002202.pdf')</v>
      </c>
      <c r="J195" t="str">
        <f>"notFoundLocal.append('"&amp;G195&amp;"')"</f>
        <v>notFoundLocal.append('Escaneo 2025\\238\\EN_FOLIO 002202.pdf')</v>
      </c>
    </row>
    <row r="196" spans="1:10" x14ac:dyDescent="0.25">
      <c r="A196">
        <v>231</v>
      </c>
      <c r="B196">
        <f>LEN(C196)</f>
        <v>25</v>
      </c>
      <c r="C196" t="s">
        <v>225</v>
      </c>
      <c r="D196" t="s">
        <v>226</v>
      </c>
      <c r="E196" t="s">
        <v>227</v>
      </c>
      <c r="F196" t="str">
        <f>TRIM(MID(D196,1,lastSt1("/",D196))&amp;TRIM(C196))</f>
        <v>Documentos compartidos/peticiones/Escaneo 2025/150/VL_RS IFO 150 2025 MA.pdf</v>
      </c>
      <c r="G196" t="str">
        <f>TRIM(MID(replaceSt(E196,"\","\\"),1,lastSt1("\",replaceSt(E196,"\","\\")))&amp;TRIM(C196))</f>
        <v>Escaneo 2025\\150\\VL_RS IFO 150 2025 MA.pdf</v>
      </c>
      <c r="H196" t="str">
        <f>"notFoundFile.append('"&amp;TRIM(C196)&amp;"')"</f>
        <v>notFoundFile.append('VL_RS IFO 150 2025 MA.pdf')</v>
      </c>
      <c r="I196" t="str">
        <f>"notFoundWeb.append('"&amp;F196&amp;"')"</f>
        <v>notFoundWeb.append('Documentos compartidos/peticiones/Escaneo 2025/150/VL_RS IFO 150 2025 MA.pdf')</v>
      </c>
      <c r="J196" t="str">
        <f>"notFoundLocal.append('"&amp;G196&amp;"')"</f>
        <v>notFoundLocal.append('Escaneo 2025\\150\\VL_RS IFO 150 2025 MA.pdf')</v>
      </c>
    </row>
    <row r="197" spans="1:10" x14ac:dyDescent="0.25">
      <c r="A197">
        <v>68</v>
      </c>
      <c r="B197">
        <f>LEN(C197)</f>
        <v>30</v>
      </c>
      <c r="C197" t="s">
        <v>596</v>
      </c>
      <c r="D197" t="s">
        <v>597</v>
      </c>
      <c r="E197" t="s">
        <v>598</v>
      </c>
      <c r="F197" t="str">
        <f>TRIM(MID(D197,1,lastSt1("/",D197))&amp;TRIM(C197))</f>
        <v>Documentos compartidos/peticiones/Escaneo 2025/150/RS_IFO-150-SistPenit-VRRA.docx</v>
      </c>
      <c r="G197" t="str">
        <f>TRIM(MID(replaceSt(E197,"\","\\"),1,lastSt1("\",replaceSt(E197,"\","\\")))&amp;TRIM(C197))</f>
        <v>Escaneo 2025\\150\\RS_IFO-150-SistPenit-VRRA.docx</v>
      </c>
      <c r="H197" t="str">
        <f>"notFoundFile.append('"&amp;TRIM(C197)&amp;"')"</f>
        <v>notFoundFile.append('RS_IFO-150-SistPenit-VRRA.docx')</v>
      </c>
      <c r="I197" t="str">
        <f>"notFoundWeb.append('"&amp;F197&amp;"')"</f>
        <v>notFoundWeb.append('Documentos compartidos/peticiones/Escaneo 2025/150/RS_IFO-150-SistPenit-VRRA.docx')</v>
      </c>
      <c r="J197" t="str">
        <f>"notFoundLocal.append('"&amp;G197&amp;"')"</f>
        <v>notFoundLocal.append('Escaneo 2025\\150\\RS_IFO-150-SistPenit-VRRA.docx')</v>
      </c>
    </row>
    <row r="198" spans="1:10" x14ac:dyDescent="0.25">
      <c r="A198">
        <v>83</v>
      </c>
      <c r="B198">
        <f>LEN(C198)</f>
        <v>25</v>
      </c>
      <c r="C198" t="s">
        <v>599</v>
      </c>
      <c r="D198" t="s">
        <v>600</v>
      </c>
      <c r="E198" t="s">
        <v>601</v>
      </c>
      <c r="F198" t="str">
        <f>TRIM(MID(D198,1,lastSt1("/",D198))&amp;TRIM(C198))</f>
        <v>Documentos compartidos/peticiones/Escaneo 2025/150/RS_O-IFO-150-OFICIO F.pdf</v>
      </c>
      <c r="G198" t="str">
        <f>TRIM(MID(replaceSt(E198,"\","\\"),1,lastSt1("\",replaceSt(E198,"\","\\")))&amp;TRIM(C198))</f>
        <v>Escaneo 2025\\150\\RS_O-IFO-150-OFICIO F.pdf</v>
      </c>
      <c r="H198" t="str">
        <f>"notFoundFile.append('"&amp;TRIM(C198)&amp;"')"</f>
        <v>notFoundFile.append('RS_O-IFO-150-OFICIO F.pdf')</v>
      </c>
      <c r="I198" t="str">
        <f>"notFoundWeb.append('"&amp;F198&amp;"')"</f>
        <v>notFoundWeb.append('Documentos compartidos/peticiones/Escaneo 2025/150/RS_O-IFO-150-OFICIO F.pdf')</v>
      </c>
      <c r="J198" t="str">
        <f>"notFoundLocal.append('"&amp;G198&amp;"')"</f>
        <v>notFoundLocal.append('Escaneo 2025\\150\\RS_O-IFO-150-OFICIO F.pdf')</v>
      </c>
    </row>
    <row r="199" spans="1:10" x14ac:dyDescent="0.25">
      <c r="A199">
        <v>179</v>
      </c>
      <c r="B199">
        <f>LEN(C199)</f>
        <v>29</v>
      </c>
      <c r="C199" t="s">
        <v>602</v>
      </c>
      <c r="D199" t="s">
        <v>603</v>
      </c>
      <c r="E199" t="s">
        <v>604</v>
      </c>
      <c r="F199" t="str">
        <f>TRIM(MID(D199,1,lastSt1("/",D199))&amp;TRIM(C199))</f>
        <v>Documentos compartidos/peticiones/Escaneo 2025/222/IN_LeyAdmon-LeyConsumidor.pdf</v>
      </c>
      <c r="G199" t="str">
        <f>TRIM(MID(replaceSt(E199,"\","\\"),1,lastSt1("\",replaceSt(E199,"\","\\")))&amp;TRIM(C199))</f>
        <v>Escaneo 2025\\222\\IN_LeyAdmon-LeyConsumidor.pdf</v>
      </c>
      <c r="H199" t="str">
        <f>"notFoundFile.append('"&amp;TRIM(C199)&amp;"')"</f>
        <v>notFoundFile.append('IN_LeyAdmon-LeyConsumidor.pdf')</v>
      </c>
      <c r="I199" t="str">
        <f>"notFoundWeb.append('"&amp;F199&amp;"')"</f>
        <v>notFoundWeb.append('Documentos compartidos/peticiones/Escaneo 2025/222/IN_LeyAdmon-LeyConsumidor.pdf')</v>
      </c>
      <c r="J199" t="str">
        <f>"notFoundLocal.append('"&amp;G199&amp;"')"</f>
        <v>notFoundLocal.append('Escaneo 2025\\222\\IN_LeyAdmon-LeyConsumidor.pdf')</v>
      </c>
    </row>
    <row r="200" spans="1:10" x14ac:dyDescent="0.25">
      <c r="A200">
        <v>82</v>
      </c>
      <c r="B200">
        <f>LEN(C200)</f>
        <v>19</v>
      </c>
      <c r="C200" t="s">
        <v>228</v>
      </c>
      <c r="D200" t="s">
        <v>229</v>
      </c>
      <c r="E200" t="s">
        <v>230</v>
      </c>
      <c r="F200" t="str">
        <f>TRIM(MID(D200,1,lastSt1("/",D200))&amp;TRIM(C200))</f>
        <v>Documentos compartidos/peticiones/Escaneo 2025/222/EN_FOLIO 002187.pdf</v>
      </c>
      <c r="G200" t="str">
        <f>TRIM(MID(replaceSt(E200,"\","\\"),1,lastSt1("\",replaceSt(E200,"\","\\")))&amp;TRIM(C200))</f>
        <v>Escaneo 2025\\222\\EN_FOLIO 002187.pdf</v>
      </c>
      <c r="H200" t="str">
        <f>"notFoundFile.append('"&amp;TRIM(C200)&amp;"')"</f>
        <v>notFoundFile.append('EN_FOLIO 002187.pdf')</v>
      </c>
      <c r="I200" t="str">
        <f>"notFoundWeb.append('"&amp;F200&amp;"')"</f>
        <v>notFoundWeb.append('Documentos compartidos/peticiones/Escaneo 2025/222/EN_FOLIO 002187.pdf')</v>
      </c>
      <c r="J200" t="str">
        <f>"notFoundLocal.append('"&amp;G200&amp;"')"</f>
        <v>notFoundLocal.append('Escaneo 2025\\222\\EN_FOLIO 002187.pdf')</v>
      </c>
    </row>
    <row r="201" spans="1:10" x14ac:dyDescent="0.25">
      <c r="A201">
        <v>114</v>
      </c>
      <c r="B201">
        <f>LEN(C201)</f>
        <v>24</v>
      </c>
      <c r="C201" t="s">
        <v>231</v>
      </c>
      <c r="D201" t="s">
        <v>232</v>
      </c>
      <c r="E201" t="s">
        <v>233</v>
      </c>
      <c r="F201" t="str">
        <f>TRIM(MID(D201,1,lastSt1("/",D201))&amp;TRIM(C201))</f>
        <v>Documentos compartidos/peticiones/Escaneo 2025/144/RS_OIPP 144-2025Rev.docx</v>
      </c>
      <c r="G201" t="str">
        <f>TRIM(MID(replaceSt(E201,"\","\\"),1,lastSt1("\",replaceSt(E201,"\","\\")))&amp;TRIM(C201))</f>
        <v>Escaneo 2025\\144\\RS_OIPP 144-2025Rev.docx</v>
      </c>
      <c r="H201" t="str">
        <f>"notFoundFile.append('"&amp;TRIM(C201)&amp;"')"</f>
        <v>notFoundFile.append('RS_OIPP 144-2025Rev.docx')</v>
      </c>
      <c r="I201" t="str">
        <f>"notFoundWeb.append('"&amp;F201&amp;"')"</f>
        <v>notFoundWeb.append('Documentos compartidos/peticiones/Escaneo 2025/144/RS_OIPP 144-2025Rev.docx')</v>
      </c>
      <c r="J201" t="str">
        <f>"notFoundLocal.append('"&amp;G201&amp;"')"</f>
        <v>notFoundLocal.append('Escaneo 2025\\144\\RS_OIPP 144-2025Rev.docx')</v>
      </c>
    </row>
    <row r="202" spans="1:10" x14ac:dyDescent="0.25">
      <c r="A202">
        <v>107</v>
      </c>
      <c r="B202">
        <f>LEN(C202)</f>
        <v>28</v>
      </c>
      <c r="C202" t="s">
        <v>605</v>
      </c>
      <c r="D202" t="s">
        <v>606</v>
      </c>
      <c r="E202" t="s">
        <v>607</v>
      </c>
      <c r="F202" t="str">
        <f>TRIM(MID(D202,1,lastSt1("/",D202))&amp;TRIM(C202))</f>
        <v>Documentos compartidos/peticiones/Escaneo 2025/144/RS_O-IPP-144-OFICIO MA-F.pdf</v>
      </c>
      <c r="G202" t="str">
        <f>TRIM(MID(replaceSt(E202,"\","\\"),1,lastSt1("\",replaceSt(E202,"\","\\")))&amp;TRIM(C202))</f>
        <v>Escaneo 2025\\144\\RS_O-IPP-144-OFICIO MA-F.pdf</v>
      </c>
      <c r="H202" t="str">
        <f>"notFoundFile.append('"&amp;TRIM(C202)&amp;"')"</f>
        <v>notFoundFile.append('RS_O-IPP-144-OFICIO MA-F.pdf')</v>
      </c>
      <c r="I202" t="str">
        <f>"notFoundWeb.append('"&amp;F202&amp;"')"</f>
        <v>notFoundWeb.append('Documentos compartidos/peticiones/Escaneo 2025/144/RS_O-IPP-144-OFICIO MA-F.pdf')</v>
      </c>
      <c r="J202" t="str">
        <f>"notFoundLocal.append('"&amp;G202&amp;"')"</f>
        <v>notFoundLocal.append('Escaneo 2025\\144\\RS_O-IPP-144-OFICIO MA-F.pdf')</v>
      </c>
    </row>
    <row r="203" spans="1:10" x14ac:dyDescent="0.25">
      <c r="A203">
        <v>187</v>
      </c>
      <c r="B203">
        <f>LEN(C203)</f>
        <v>24</v>
      </c>
      <c r="C203" t="s">
        <v>234</v>
      </c>
      <c r="D203" t="s">
        <v>235</v>
      </c>
      <c r="E203" t="s">
        <v>236</v>
      </c>
      <c r="F203" t="str">
        <f>TRIM(MID(D203,1,lastSt1("/",D203))&amp;TRIM(C203))</f>
        <v>Documentos compartidos/peticiones/Escaneo 2025/175/RS_O IPP 175 OFCIO F.pdf</v>
      </c>
      <c r="G203" t="str">
        <f>TRIM(MID(replaceSt(E203,"\","\\"),1,lastSt1("\",replaceSt(E203,"\","\\")))&amp;TRIM(C203))</f>
        <v>Escaneo 2025\\175\\RS_O IPP 175 OFCIO F.pdf</v>
      </c>
      <c r="H203" t="str">
        <f>"notFoundFile.append('"&amp;TRIM(C203)&amp;"')"</f>
        <v>notFoundFile.append('RS_O IPP 175 OFCIO F.pdf')</v>
      </c>
      <c r="I203" t="str">
        <f>"notFoundWeb.append('"&amp;F203&amp;"')"</f>
        <v>notFoundWeb.append('Documentos compartidos/peticiones/Escaneo 2025/175/RS_O IPP 175 OFCIO F.pdf')</v>
      </c>
      <c r="J203" t="str">
        <f>"notFoundLocal.append('"&amp;G203&amp;"')"</f>
        <v>notFoundLocal.append('Escaneo 2025\\175\\RS_O IPP 175 OFCIO F.pdf')</v>
      </c>
    </row>
    <row r="204" spans="1:10" x14ac:dyDescent="0.25">
      <c r="A204">
        <v>192</v>
      </c>
      <c r="B204">
        <f>LEN(C204)</f>
        <v>30</v>
      </c>
      <c r="C204" t="s">
        <v>608</v>
      </c>
      <c r="D204" t="s">
        <v>609</v>
      </c>
      <c r="E204" t="s">
        <v>610</v>
      </c>
      <c r="F204" t="str">
        <f>TRIM(MID(D204,1,lastSt1("/",D204))&amp;TRIM(C204))</f>
        <v>Documentos compartidos/peticiones/Escaneo 2025/073/6/RS_O-IPP-073.6-OFICIO-MA-F.pdf</v>
      </c>
      <c r="G204" t="str">
        <f>TRIM(MID(replaceSt(E204,"\","\\"),1,lastSt1("\",replaceSt(E204,"\","\\")))&amp;TRIM(C204))</f>
        <v>Escaneo 2025\\073\\6\\RS_O-IPP-073.6-OFICIO-MA-F.pdf</v>
      </c>
      <c r="H204" t="str">
        <f>"notFoundFile.append('"&amp;TRIM(C204)&amp;"')"</f>
        <v>notFoundFile.append('RS_O-IPP-073.6-OFICIO-MA-F.pdf')</v>
      </c>
      <c r="I204" t="str">
        <f>"notFoundWeb.append('"&amp;F204&amp;"')"</f>
        <v>notFoundWeb.append('Documentos compartidos/peticiones/Escaneo 2025/073/6/RS_O-IPP-073.6-OFICIO-MA-F.pdf')</v>
      </c>
      <c r="J204" t="str">
        <f>"notFoundLocal.append('"&amp;G204&amp;"')"</f>
        <v>notFoundLocal.append('Escaneo 2025\\073\\6\\RS_O-IPP-073.6-OFICIO-MA-F.pdf')</v>
      </c>
    </row>
    <row r="205" spans="1:10" x14ac:dyDescent="0.25">
      <c r="A205">
        <v>130</v>
      </c>
      <c r="B205">
        <f>LEN(C205)</f>
        <v>29</v>
      </c>
      <c r="C205" t="s">
        <v>611</v>
      </c>
      <c r="D205" t="s">
        <v>612</v>
      </c>
      <c r="E205" t="s">
        <v>613</v>
      </c>
      <c r="F205" t="str">
        <f>TRIM(MID(D205,1,lastSt1("/",D205))&amp;TRIM(C205))</f>
        <v>Documentos compartidos/peticiones/Escaneo 2025/073/6/RS_IPP-073.6-OFICIO-VR_m.docx</v>
      </c>
      <c r="G205" t="str">
        <f>TRIM(MID(replaceSt(E205,"\","\\"),1,lastSt1("\",replaceSt(E205,"\","\\")))&amp;TRIM(C205))</f>
        <v>Escaneo 2025\\073\\6\\RS_IPP-073.6-OFICIO-VR_m.docx</v>
      </c>
      <c r="H205" t="str">
        <f>"notFoundFile.append('"&amp;TRIM(C205)&amp;"')"</f>
        <v>notFoundFile.append('RS_IPP-073.6-OFICIO-VR_m.docx')</v>
      </c>
      <c r="I205" t="str">
        <f>"notFoundWeb.append('"&amp;F205&amp;"')"</f>
        <v>notFoundWeb.append('Documentos compartidos/peticiones/Escaneo 2025/073/6/RS_IPP-073.6-OFICIO-VR_m.docx')</v>
      </c>
      <c r="J205" t="str">
        <f>"notFoundLocal.append('"&amp;G205&amp;"')"</f>
        <v>notFoundLocal.append('Escaneo 2025\\073\\6\\RS_IPP-073.6-OFICIO-VR_m.docx')</v>
      </c>
    </row>
    <row r="206" spans="1:10" x14ac:dyDescent="0.25">
      <c r="A206">
        <v>11</v>
      </c>
      <c r="B206">
        <f>LEN(C206)</f>
        <v>19</v>
      </c>
      <c r="C206" t="s">
        <v>614</v>
      </c>
      <c r="D206" t="s">
        <v>615</v>
      </c>
      <c r="E206" t="s">
        <v>616</v>
      </c>
      <c r="F206" t="str">
        <f>TRIM(MID(D206,1,lastSt1("/",D206))&amp;TRIM(C206))</f>
        <v>Documentos compartidos/peticiones/Escaneo 2025/073/5/VL_IPP-073.5-MA.pdf</v>
      </c>
      <c r="G206" t="str">
        <f>TRIM(MID(replaceSt(E206,"\","\\"),1,lastSt1("\",replaceSt(E206,"\","\\")))&amp;TRIM(C206))</f>
        <v>Escaneo 2025\\073\\5\\VL_IPP-073.5-MA.pdf</v>
      </c>
      <c r="H206" t="str">
        <f>"notFoundFile.append('"&amp;TRIM(C206)&amp;"')"</f>
        <v>notFoundFile.append('VL_IPP-073.5-MA.pdf')</v>
      </c>
      <c r="I206" t="str">
        <f>"notFoundWeb.append('"&amp;F206&amp;"')"</f>
        <v>notFoundWeb.append('Documentos compartidos/peticiones/Escaneo 2025/073/5/VL_IPP-073.5-MA.pdf')</v>
      </c>
      <c r="J206" t="str">
        <f>"notFoundLocal.append('"&amp;G206&amp;"')"</f>
        <v>notFoundLocal.append('Escaneo 2025\\073\\5\\VL_IPP-073.5-MA.pdf')</v>
      </c>
    </row>
    <row r="207" spans="1:10" x14ac:dyDescent="0.25">
      <c r="A207">
        <v>56</v>
      </c>
      <c r="B207">
        <f>LEN(C207)</f>
        <v>27</v>
      </c>
      <c r="C207" t="s">
        <v>617</v>
      </c>
      <c r="D207" t="s">
        <v>618</v>
      </c>
      <c r="E207" t="s">
        <v>619</v>
      </c>
      <c r="F207" t="str">
        <f>TRIM(MID(D207,1,lastSt1("/",D207))&amp;TRIM(C207))</f>
        <v>Documentos compartidos/peticiones/Escaneo 2025/073/5/RS_O-IPP-073.5-OFICIO F.pdf</v>
      </c>
      <c r="G207" t="str">
        <f>TRIM(MID(replaceSt(E207,"\","\\"),1,lastSt1("\",replaceSt(E207,"\","\\")))&amp;TRIM(C207))</f>
        <v>Escaneo 2025\\073\\5\\RS_O-IPP-073.5-OFICIO F.pdf</v>
      </c>
      <c r="H207" t="str">
        <f>"notFoundFile.append('"&amp;TRIM(C207)&amp;"')"</f>
        <v>notFoundFile.append('RS_O-IPP-073.5-OFICIO F.pdf')</v>
      </c>
      <c r="I207" t="str">
        <f>"notFoundWeb.append('"&amp;F207&amp;"')"</f>
        <v>notFoundWeb.append('Documentos compartidos/peticiones/Escaneo 2025/073/5/RS_O-IPP-073.5-OFICIO F.pdf')</v>
      </c>
      <c r="J207" t="str">
        <f>"notFoundLocal.append('"&amp;G207&amp;"')"</f>
        <v>notFoundLocal.append('Escaneo 2025\\073\\5\\RS_O-IPP-073.5-OFICIO F.pdf')</v>
      </c>
    </row>
    <row r="208" spans="1:10" x14ac:dyDescent="0.25">
      <c r="A208">
        <v>199</v>
      </c>
      <c r="B208">
        <f>LEN(C208)</f>
        <v>32</v>
      </c>
      <c r="C208" t="s">
        <v>620</v>
      </c>
      <c r="D208" t="s">
        <v>621</v>
      </c>
      <c r="E208" t="s">
        <v>622</v>
      </c>
      <c r="F208" t="str">
        <f>TRIM(MID(D208,1,lastSt1("/",D208))&amp;TRIM(C208))</f>
        <v>Documentos compartidos/peticiones/Escaneo 2025/242/IN_CódPen-Art-201-Art-201Bis.pdf</v>
      </c>
      <c r="G208" t="str">
        <f>TRIM(MID(replaceSt(E208,"\","\\"),1,lastSt1("\",replaceSt(E208,"\","\\")))&amp;TRIM(C208))</f>
        <v>Escaneo 2025\\242\\IN_CódPen-Art-201-Art-201Bis.pdf</v>
      </c>
      <c r="H208" t="str">
        <f>"notFoundFile.append('"&amp;TRIM(C208)&amp;"')"</f>
        <v>notFoundFile.append('IN_CódPen-Art-201-Art-201Bis.pdf')</v>
      </c>
      <c r="I208" t="str">
        <f>"notFoundWeb.append('"&amp;F208&amp;"')"</f>
        <v>notFoundWeb.append('Documentos compartidos/peticiones/Escaneo 2025/242/IN_CódPen-Art-201-Art-201Bis.pdf')</v>
      </c>
      <c r="J208" t="str">
        <f>"notFoundLocal.append('"&amp;G208&amp;"')"</f>
        <v>notFoundLocal.append('Escaneo 2025\\242\\IN_CódPen-Art-201-Art-201Bis.pdf')</v>
      </c>
    </row>
    <row r="209" spans="1:10" x14ac:dyDescent="0.25">
      <c r="A209">
        <v>93</v>
      </c>
      <c r="B209">
        <f>LEN(C209)</f>
        <v>19</v>
      </c>
      <c r="C209" t="s">
        <v>237</v>
      </c>
      <c r="D209" t="s">
        <v>238</v>
      </c>
      <c r="E209" t="s">
        <v>239</v>
      </c>
      <c r="F209" t="str">
        <f>TRIM(MID(D209,1,lastSt1("/",D209))&amp;TRIM(C209))</f>
        <v>Documentos compartidos/peticiones/Escaneo 2025/242/EN_FOLIO 002206.pdf</v>
      </c>
      <c r="G209" t="str">
        <f>TRIM(MID(replaceSt(E209,"\","\\"),1,lastSt1("\",replaceSt(E209,"\","\\")))&amp;TRIM(C209))</f>
        <v>Escaneo 2025\\242\\EN_FOLIO 002206.pdf</v>
      </c>
      <c r="H209" t="str">
        <f>"notFoundFile.append('"&amp;TRIM(C209)&amp;"')"</f>
        <v>notFoundFile.append('EN_FOLIO 002206.pdf')</v>
      </c>
      <c r="I209" t="str">
        <f>"notFoundWeb.append('"&amp;F209&amp;"')"</f>
        <v>notFoundWeb.append('Documentos compartidos/peticiones/Escaneo 2025/242/EN_FOLIO 002206.pdf')</v>
      </c>
      <c r="J209" t="str">
        <f>"notFoundLocal.append('"&amp;G209&amp;"')"</f>
        <v>notFoundLocal.append('Escaneo 2025\\242\\EN_FOLIO 002206.pdf')</v>
      </c>
    </row>
    <row r="210" spans="1:10" x14ac:dyDescent="0.25">
      <c r="A210">
        <v>9</v>
      </c>
      <c r="B210">
        <f>LEN(C210)</f>
        <v>28</v>
      </c>
      <c r="C210" t="s">
        <v>240</v>
      </c>
      <c r="D210" t="s">
        <v>241</v>
      </c>
      <c r="E210" t="s">
        <v>242</v>
      </c>
      <c r="F210" t="str">
        <f>TRIM(MID(D210,1,lastSt1("/",D210))&amp;TRIM(C210))</f>
        <v>Documentos compartidos/peticiones/Escaneo 2025/088/RS_O IPP 088 2025 OFICIO.pdf</v>
      </c>
      <c r="G210" t="str">
        <f>TRIM(MID(replaceSt(E210,"\","\\"),1,lastSt1("\",replaceSt(E210,"\","\\")))&amp;TRIM(C210))</f>
        <v>Escaneo 2025\\088\\RS_O IPP 088 2025 OFICIO.pdf</v>
      </c>
      <c r="H210" t="str">
        <f>"notFoundFile.append('"&amp;TRIM(C210)&amp;"')"</f>
        <v>notFoundFile.append('RS_O IPP 088 2025 OFICIO.pdf')</v>
      </c>
      <c r="I210" t="str">
        <f>"notFoundWeb.append('"&amp;F210&amp;"')"</f>
        <v>notFoundWeb.append('Documentos compartidos/peticiones/Escaneo 2025/088/RS_O IPP 088 2025 OFICIO.pdf')</v>
      </c>
      <c r="J210" t="str">
        <f>"notFoundLocal.append('"&amp;G210&amp;"')"</f>
        <v>notFoundLocal.append('Escaneo 2025\\088\\RS_O IPP 088 2025 OFICIO.pdf')</v>
      </c>
    </row>
    <row r="211" spans="1:10" x14ac:dyDescent="0.25">
      <c r="A211">
        <v>116</v>
      </c>
      <c r="B211">
        <f>LEN(C211)</f>
        <v>24</v>
      </c>
      <c r="C211" t="s">
        <v>623</v>
      </c>
      <c r="D211" t="s">
        <v>624</v>
      </c>
      <c r="E211" t="s">
        <v>625</v>
      </c>
      <c r="F211" t="str">
        <f>TRIM(MID(D211,1,lastSt1("/",D211))&amp;TRIM(C211))</f>
        <v>Documentos compartidos/peticiones/Escaneo 2025/217/RS_O-IPP-217-OFCIO F.pdf</v>
      </c>
      <c r="G211" t="str">
        <f>TRIM(MID(replaceSt(E211,"\","\\"),1,lastSt1("\",replaceSt(E211,"\","\\")))&amp;TRIM(C211))</f>
        <v>Escaneo 2025\\217\\RS_O-IPP-217-OFCIO F.pdf</v>
      </c>
      <c r="H211" t="str">
        <f>"notFoundFile.append('"&amp;TRIM(C211)&amp;"')"</f>
        <v>notFoundFile.append('RS_O-IPP-217-OFCIO F.pdf')</v>
      </c>
      <c r="I211" t="str">
        <f>"notFoundWeb.append('"&amp;F211&amp;"')"</f>
        <v>notFoundWeb.append('Documentos compartidos/peticiones/Escaneo 2025/217/RS_O-IPP-217-OFCIO F.pdf')</v>
      </c>
      <c r="J211" t="str">
        <f>"notFoundLocal.append('"&amp;G211&amp;"')"</f>
        <v>notFoundLocal.append('Escaneo 2025\\217\\RS_O-IPP-217-OFCIO F.pdf')</v>
      </c>
    </row>
    <row r="212" spans="1:10" x14ac:dyDescent="0.25">
      <c r="A212">
        <v>168</v>
      </c>
      <c r="B212">
        <f>LEN(C212)</f>
        <v>23</v>
      </c>
      <c r="C212" t="s">
        <v>626</v>
      </c>
      <c r="D212" t="s">
        <v>627</v>
      </c>
      <c r="E212" t="s">
        <v>628</v>
      </c>
      <c r="F212" t="str">
        <f>TRIM(MID(D212,1,lastSt1("/",D212))&amp;TRIM(C212))</f>
        <v>Documentos compartidos/peticiones/Escaneo 2025/217/IN_LeyPersMigrantes.pdf</v>
      </c>
      <c r="G212" t="str">
        <f>TRIM(MID(replaceSt(E212,"\","\\"),1,lastSt1("\",replaceSt(E212,"\","\\")))&amp;TRIM(C212))</f>
        <v>Escaneo 2025\\217\\IN_LeyPersMigrantes.pdf</v>
      </c>
      <c r="H212" t="str">
        <f>"notFoundFile.append('"&amp;TRIM(C212)&amp;"')"</f>
        <v>notFoundFile.append('IN_LeyPersMigrantes.pdf')</v>
      </c>
      <c r="I212" t="str">
        <f>"notFoundWeb.append('"&amp;F212&amp;"')"</f>
        <v>notFoundWeb.append('Documentos compartidos/peticiones/Escaneo 2025/217/IN_LeyPersMigrantes.pdf')</v>
      </c>
      <c r="J212" t="str">
        <f>"notFoundLocal.append('"&amp;G212&amp;"')"</f>
        <v>notFoundLocal.append('Escaneo 2025\\217\\IN_LeyPersMigrantes.pdf')</v>
      </c>
    </row>
    <row r="213" spans="1:10" x14ac:dyDescent="0.25">
      <c r="A213">
        <v>252</v>
      </c>
      <c r="B213">
        <f>LEN(C213)</f>
        <v>18</v>
      </c>
      <c r="C213" t="s">
        <v>629</v>
      </c>
      <c r="D213" t="s">
        <v>630</v>
      </c>
      <c r="E213" t="s">
        <v>631</v>
      </c>
      <c r="F213" t="str">
        <f>TRIM(MID(D213,1,lastSt1("/",D213))&amp;TRIM(C213))</f>
        <v>Documentos compartidos/peticiones/Escaneo 2025/217/VL_IPP-217-R M.pdf</v>
      </c>
      <c r="G213" t="str">
        <f>TRIM(MID(replaceSt(E213,"\","\\"),1,lastSt1("\",replaceSt(E213,"\","\\")))&amp;TRIM(C213))</f>
        <v>Escaneo 2025\\217\\VL_IPP-217-R M.pdf</v>
      </c>
      <c r="H213" t="str">
        <f>"notFoundFile.append('"&amp;TRIM(C213)&amp;"')"</f>
        <v>notFoundFile.append('VL_IPP-217-R M.pdf')</v>
      </c>
      <c r="I213" t="str">
        <f>"notFoundWeb.append('"&amp;F213&amp;"')"</f>
        <v>notFoundWeb.append('Documentos compartidos/peticiones/Escaneo 2025/217/VL_IPP-217-R M.pdf')</v>
      </c>
      <c r="J213" t="str">
        <f>"notFoundLocal.append('"&amp;G213&amp;"')"</f>
        <v>notFoundLocal.append('Escaneo 2025\\217\\VL_IPP-217-R M.pdf')</v>
      </c>
    </row>
    <row r="214" spans="1:10" x14ac:dyDescent="0.25">
      <c r="A214">
        <v>238</v>
      </c>
      <c r="B214">
        <f>LEN(C214)</f>
        <v>19</v>
      </c>
      <c r="C214" t="s">
        <v>243</v>
      </c>
      <c r="D214" t="s">
        <v>244</v>
      </c>
      <c r="E214" t="s">
        <v>245</v>
      </c>
      <c r="F214" t="str">
        <f>TRIM(MID(D214,1,lastSt1("/",D214))&amp;TRIM(C214))</f>
        <v>Documentos compartidos/peticiones/Escaneo 2025/217/EN_FOLIO 002185.pdf</v>
      </c>
      <c r="G214" t="str">
        <f>TRIM(MID(replaceSt(E214,"\","\\"),1,lastSt1("\",replaceSt(E214,"\","\\")))&amp;TRIM(C214))</f>
        <v>Escaneo 2025\\217\\EN_FOLIO 002185.pdf</v>
      </c>
      <c r="H214" t="str">
        <f>"notFoundFile.append('"&amp;TRIM(C214)&amp;"')"</f>
        <v>notFoundFile.append('EN_FOLIO 002185.pdf')</v>
      </c>
      <c r="I214" t="str">
        <f>"notFoundWeb.append('"&amp;F214&amp;"')"</f>
        <v>notFoundWeb.append('Documentos compartidos/peticiones/Escaneo 2025/217/EN_FOLIO 002185.pdf')</v>
      </c>
      <c r="J214" t="str">
        <f>"notFoundLocal.append('"&amp;G214&amp;"')"</f>
        <v>notFoundLocal.append('Escaneo 2025\\217\\EN_FOLIO 002185.pdf')</v>
      </c>
    </row>
    <row r="215" spans="1:10" x14ac:dyDescent="0.25">
      <c r="A215">
        <v>124</v>
      </c>
      <c r="B215">
        <f>LEN(C215)</f>
        <v>27</v>
      </c>
      <c r="C215" t="s">
        <v>632</v>
      </c>
      <c r="D215" t="s">
        <v>633</v>
      </c>
      <c r="E215" t="s">
        <v>634</v>
      </c>
      <c r="F215" t="str">
        <f>TRIM(MID(D215,1,lastSt1("/",D215))&amp;TRIM(C215))</f>
        <v>Documentos compartidos/peticiones/Escaneo 2025/082/1/RS_O-IPP-082.1-OFICIO F.pdf</v>
      </c>
      <c r="G215" t="str">
        <f>TRIM(MID(replaceSt(E215,"\","\\"),1,lastSt1("\",replaceSt(E215,"\","\\")))&amp;TRIM(C215))</f>
        <v>Escaneo 2025\\082\\1\\RS_O-IPP-082.1-OFICIO F.pdf</v>
      </c>
      <c r="H215" t="str">
        <f>"notFoundFile.append('"&amp;TRIM(C215)&amp;"')"</f>
        <v>notFoundFile.append('RS_O-IPP-082.1-OFICIO F.pdf')</v>
      </c>
      <c r="I215" t="str">
        <f>"notFoundWeb.append('"&amp;F215&amp;"')"</f>
        <v>notFoundWeb.append('Documentos compartidos/peticiones/Escaneo 2025/082/1/RS_O-IPP-082.1-OFICIO F.pdf')</v>
      </c>
      <c r="J215" t="str">
        <f>"notFoundLocal.append('"&amp;G215&amp;"')"</f>
        <v>notFoundLocal.append('Escaneo 2025\\082\\1\\RS_O-IPP-082.1-OFICIO F.pdf')</v>
      </c>
    </row>
    <row r="216" spans="1:10" x14ac:dyDescent="0.25">
      <c r="A216">
        <v>143</v>
      </c>
      <c r="B216">
        <f>LEN(C216)</f>
        <v>17</v>
      </c>
      <c r="C216" t="s">
        <v>246</v>
      </c>
      <c r="D216" t="s">
        <v>247</v>
      </c>
      <c r="E216" t="s">
        <v>248</v>
      </c>
      <c r="F216" t="str">
        <f>TRIM(MID(D216,1,lastSt1("/",D216))&amp;TRIM(C216))</f>
        <v>Documentos compartidos/peticiones/Escaneo 2025/082/1/RS_OIPP082-1.docx</v>
      </c>
      <c r="G216" t="str">
        <f>TRIM(MID(replaceSt(E216,"\","\\"),1,lastSt1("\",replaceSt(E216,"\","\\")))&amp;TRIM(C216))</f>
        <v>Escaneo 2025\\082\\1\\RS_OIPP082-1.docx</v>
      </c>
      <c r="H216" t="str">
        <f>"notFoundFile.append('"&amp;TRIM(C216)&amp;"')"</f>
        <v>notFoundFile.append('RS_OIPP082-1.docx')</v>
      </c>
      <c r="I216" t="str">
        <f>"notFoundWeb.append('"&amp;F216&amp;"')"</f>
        <v>notFoundWeb.append('Documentos compartidos/peticiones/Escaneo 2025/082/1/RS_OIPP082-1.docx')</v>
      </c>
      <c r="J216" t="str">
        <f>"notFoundLocal.append('"&amp;G216&amp;"')"</f>
        <v>notFoundLocal.append('Escaneo 2025\\082\\1\\RS_OIPP082-1.docx')</v>
      </c>
    </row>
    <row r="217" spans="1:10" x14ac:dyDescent="0.25">
      <c r="A217">
        <v>198</v>
      </c>
      <c r="B217">
        <f>LEN(C217)</f>
        <v>27</v>
      </c>
      <c r="C217" t="s">
        <v>635</v>
      </c>
      <c r="D217" t="s">
        <v>636</v>
      </c>
      <c r="E217" t="s">
        <v>637</v>
      </c>
      <c r="F217" t="str">
        <f>TRIM(MID(D217,1,lastSt1("/",D217))&amp;TRIM(C217))</f>
        <v>Documentos compartidos/peticiones/Escaneo 2025/082/2/RS_O-IPP-082.2-Oficio F.pdf</v>
      </c>
      <c r="G217" t="str">
        <f>TRIM(MID(replaceSt(E217,"\","\\"),1,lastSt1("\",replaceSt(E217,"\","\\")))&amp;TRIM(C217))</f>
        <v>Escaneo 2025\\082\\2\\RS_O-IPP-082.2-Oficio F.pdf</v>
      </c>
      <c r="H217" t="str">
        <f>"notFoundFile.append('"&amp;TRIM(C217)&amp;"')"</f>
        <v>notFoundFile.append('RS_O-IPP-082.2-Oficio F.pdf')</v>
      </c>
      <c r="I217" t="str">
        <f>"notFoundWeb.append('"&amp;F217&amp;"')"</f>
        <v>notFoundWeb.append('Documentos compartidos/peticiones/Escaneo 2025/082/2/RS_O-IPP-082.2-Oficio F.pdf')</v>
      </c>
      <c r="J217" t="str">
        <f>"notFoundLocal.append('"&amp;G217&amp;"')"</f>
        <v>notFoundLocal.append('Escaneo 2025\\082\\2\\RS_O-IPP-082.2-Oficio F.pdf')</v>
      </c>
    </row>
    <row r="218" spans="1:10" x14ac:dyDescent="0.25">
      <c r="A218">
        <v>45</v>
      </c>
      <c r="B218">
        <f>LEN(C218)</f>
        <v>17</v>
      </c>
      <c r="C218" t="s">
        <v>249</v>
      </c>
      <c r="D218" t="s">
        <v>250</v>
      </c>
      <c r="E218" t="s">
        <v>251</v>
      </c>
      <c r="F218" t="str">
        <f>TRIM(MID(D218,1,lastSt1("/",D218))&amp;TRIM(C218))</f>
        <v>Documentos compartidos/peticiones/Escaneo 2025/082/2/RS_OIPP082-2.docx</v>
      </c>
      <c r="G218" t="str">
        <f>TRIM(MID(replaceSt(E218,"\","\\"),1,lastSt1("\",replaceSt(E218,"\","\\")))&amp;TRIM(C218))</f>
        <v>Escaneo 2025\\082\\2\\RS_OIPP082-2.docx</v>
      </c>
      <c r="H218" t="str">
        <f>"notFoundFile.append('"&amp;TRIM(C218)&amp;"')"</f>
        <v>notFoundFile.append('RS_OIPP082-2.docx')</v>
      </c>
      <c r="I218" t="str">
        <f>"notFoundWeb.append('"&amp;F218&amp;"')"</f>
        <v>notFoundWeb.append('Documentos compartidos/peticiones/Escaneo 2025/082/2/RS_OIPP082-2.docx')</v>
      </c>
      <c r="J218" t="str">
        <f>"notFoundLocal.append('"&amp;G218&amp;"')"</f>
        <v>notFoundLocal.append('Escaneo 2025\\082\\2\\RS_OIPP082-2.docx')</v>
      </c>
    </row>
    <row r="219" spans="1:10" x14ac:dyDescent="0.25">
      <c r="A219">
        <v>79</v>
      </c>
      <c r="B219">
        <f>LEN(C219)</f>
        <v>25</v>
      </c>
      <c r="C219" t="s">
        <v>638</v>
      </c>
      <c r="D219" t="s">
        <v>639</v>
      </c>
      <c r="E219" t="s">
        <v>640</v>
      </c>
      <c r="F219" t="str">
        <f>TRIM(MID(D219,1,lastSt1("/",D219))&amp;TRIM(C219))</f>
        <v>Documentos compartidos/peticiones/Escaneo 2025/084/RS_O-IPP-084-OFICIO F.pdf</v>
      </c>
      <c r="G219" t="str">
        <f>TRIM(MID(replaceSt(E219,"\","\\"),1,lastSt1("\",replaceSt(E219,"\","\\")))&amp;TRIM(C219))</f>
        <v>Escaneo 2025\\084\\RS_O-IPP-084-OFICIO F.pdf</v>
      </c>
      <c r="H219" t="str">
        <f>"notFoundFile.append('"&amp;TRIM(C219)&amp;"')"</f>
        <v>notFoundFile.append('RS_O-IPP-084-OFICIO F.pdf')</v>
      </c>
      <c r="I219" t="str">
        <f>"notFoundWeb.append('"&amp;F219&amp;"')"</f>
        <v>notFoundWeb.append('Documentos compartidos/peticiones/Escaneo 2025/084/RS_O-IPP-084-OFICIO F.pdf')</v>
      </c>
      <c r="J219" t="str">
        <f>"notFoundLocal.append('"&amp;G219&amp;"')"</f>
        <v>notFoundLocal.append('Escaneo 2025\\084\\RS_O-IPP-084-OFICIO F.pdf')</v>
      </c>
    </row>
    <row r="220" spans="1:10" x14ac:dyDescent="0.25">
      <c r="A220">
        <v>37</v>
      </c>
      <c r="B220">
        <f>LEN(C220)</f>
        <v>0</v>
      </c>
    </row>
    <row r="221" spans="1:10" x14ac:dyDescent="0.25">
      <c r="A221">
        <v>180</v>
      </c>
      <c r="B221">
        <f>LEN(C221)</f>
        <v>0</v>
      </c>
    </row>
    <row r="222" spans="1:10" x14ac:dyDescent="0.25">
      <c r="A222">
        <v>22</v>
      </c>
      <c r="B222">
        <f>LEN(C222)</f>
        <v>0</v>
      </c>
    </row>
    <row r="223" spans="1:10" x14ac:dyDescent="0.25">
      <c r="A223">
        <v>105</v>
      </c>
      <c r="B223">
        <f>LEN(C223)</f>
        <v>0</v>
      </c>
    </row>
    <row r="224" spans="1:10" x14ac:dyDescent="0.25">
      <c r="A224">
        <v>55</v>
      </c>
      <c r="B224">
        <f>LEN(C224)</f>
        <v>0</v>
      </c>
    </row>
    <row r="225" spans="1:2" x14ac:dyDescent="0.25">
      <c r="A225">
        <v>207</v>
      </c>
      <c r="B225">
        <f>LEN(C225)</f>
        <v>0</v>
      </c>
    </row>
    <row r="226" spans="1:2" x14ac:dyDescent="0.25">
      <c r="A226">
        <v>6</v>
      </c>
      <c r="B226">
        <f>LEN(C226)</f>
        <v>0</v>
      </c>
    </row>
    <row r="227" spans="1:2" x14ac:dyDescent="0.25">
      <c r="A227">
        <v>8</v>
      </c>
      <c r="B227">
        <f>LEN(C227)</f>
        <v>0</v>
      </c>
    </row>
    <row r="228" spans="1:2" x14ac:dyDescent="0.25">
      <c r="A228">
        <v>228</v>
      </c>
      <c r="B228">
        <f>LEN(C228)</f>
        <v>0</v>
      </c>
    </row>
    <row r="229" spans="1:2" x14ac:dyDescent="0.25">
      <c r="A229">
        <v>25</v>
      </c>
      <c r="B229">
        <f>LEN(C229)</f>
        <v>0</v>
      </c>
    </row>
    <row r="230" spans="1:2" x14ac:dyDescent="0.25">
      <c r="A230">
        <v>186</v>
      </c>
      <c r="B230">
        <f>LEN(C230)</f>
        <v>0</v>
      </c>
    </row>
    <row r="231" spans="1:2" x14ac:dyDescent="0.25">
      <c r="A231">
        <v>245</v>
      </c>
      <c r="B231">
        <f>LEN(C231)</f>
        <v>0</v>
      </c>
    </row>
    <row r="232" spans="1:2" x14ac:dyDescent="0.25">
      <c r="A232">
        <v>234</v>
      </c>
      <c r="B232">
        <f>LEN(C232)</f>
        <v>0</v>
      </c>
    </row>
    <row r="233" spans="1:2" x14ac:dyDescent="0.25">
      <c r="A233">
        <v>193</v>
      </c>
      <c r="B233">
        <f>LEN(C233)</f>
        <v>0</v>
      </c>
    </row>
    <row r="234" spans="1:2" x14ac:dyDescent="0.25">
      <c r="A234">
        <v>127</v>
      </c>
      <c r="B234">
        <f>LEN(C234)</f>
        <v>0</v>
      </c>
    </row>
    <row r="235" spans="1:2" x14ac:dyDescent="0.25">
      <c r="A235">
        <v>233</v>
      </c>
      <c r="B235">
        <f>LEN(C235)</f>
        <v>0</v>
      </c>
    </row>
    <row r="236" spans="1:2" x14ac:dyDescent="0.25">
      <c r="A236">
        <v>163</v>
      </c>
      <c r="B236">
        <f>LEN(C236)</f>
        <v>0</v>
      </c>
    </row>
    <row r="237" spans="1:2" x14ac:dyDescent="0.25">
      <c r="A237">
        <v>49</v>
      </c>
      <c r="B237">
        <f>LEN(C237)</f>
        <v>0</v>
      </c>
    </row>
    <row r="238" spans="1:2" x14ac:dyDescent="0.25">
      <c r="A238">
        <v>19</v>
      </c>
      <c r="B238">
        <f>LEN(C238)</f>
        <v>0</v>
      </c>
    </row>
    <row r="239" spans="1:2" x14ac:dyDescent="0.25">
      <c r="A239">
        <v>81</v>
      </c>
      <c r="B239">
        <f>LEN(C239)</f>
        <v>0</v>
      </c>
    </row>
    <row r="240" spans="1:2" x14ac:dyDescent="0.25">
      <c r="A240">
        <v>194</v>
      </c>
      <c r="B240">
        <f>LEN(C240)</f>
        <v>0</v>
      </c>
    </row>
    <row r="241" spans="1:2" x14ac:dyDescent="0.25">
      <c r="A241">
        <v>26</v>
      </c>
      <c r="B241">
        <f>LEN(C241)</f>
        <v>0</v>
      </c>
    </row>
    <row r="242" spans="1:2" x14ac:dyDescent="0.25">
      <c r="A242">
        <v>172</v>
      </c>
      <c r="B242">
        <f>LEN(C242)</f>
        <v>0</v>
      </c>
    </row>
    <row r="243" spans="1:2" x14ac:dyDescent="0.25">
      <c r="A243">
        <v>256</v>
      </c>
      <c r="B243">
        <f>LEN(C243)</f>
        <v>0</v>
      </c>
    </row>
    <row r="244" spans="1:2" x14ac:dyDescent="0.25">
      <c r="A244">
        <v>42</v>
      </c>
      <c r="B244">
        <f>LEN(C244)</f>
        <v>0</v>
      </c>
    </row>
    <row r="245" spans="1:2" x14ac:dyDescent="0.25">
      <c r="A245">
        <v>51</v>
      </c>
      <c r="B245">
        <f>LEN(C245)</f>
        <v>0</v>
      </c>
    </row>
    <row r="246" spans="1:2" x14ac:dyDescent="0.25">
      <c r="A246">
        <v>246</v>
      </c>
      <c r="B246">
        <f>LEN(C246)</f>
        <v>0</v>
      </c>
    </row>
    <row r="247" spans="1:2" x14ac:dyDescent="0.25">
      <c r="A247">
        <v>150</v>
      </c>
      <c r="B247">
        <f>LEN(C247)</f>
        <v>0</v>
      </c>
    </row>
    <row r="248" spans="1:2" x14ac:dyDescent="0.25">
      <c r="A248">
        <v>204</v>
      </c>
      <c r="B248">
        <f>LEN(C248)</f>
        <v>0</v>
      </c>
    </row>
    <row r="249" spans="1:2" x14ac:dyDescent="0.25">
      <c r="A249">
        <v>182</v>
      </c>
      <c r="B249">
        <f>LEN(C249)</f>
        <v>0</v>
      </c>
    </row>
    <row r="250" spans="1:2" x14ac:dyDescent="0.25">
      <c r="A250">
        <v>214</v>
      </c>
      <c r="B250">
        <f>LEN(C250)</f>
        <v>0</v>
      </c>
    </row>
    <row r="251" spans="1:2" x14ac:dyDescent="0.25">
      <c r="A251">
        <v>270</v>
      </c>
      <c r="B251">
        <f>LEN(C251)</f>
        <v>0</v>
      </c>
    </row>
    <row r="252" spans="1:2" x14ac:dyDescent="0.25">
      <c r="A252">
        <v>113</v>
      </c>
      <c r="B252">
        <f>LEN(C252)</f>
        <v>0</v>
      </c>
    </row>
    <row r="253" spans="1:2" x14ac:dyDescent="0.25">
      <c r="A253">
        <v>265</v>
      </c>
      <c r="B253">
        <f>LEN(C253)</f>
        <v>0</v>
      </c>
    </row>
    <row r="254" spans="1:2" x14ac:dyDescent="0.25">
      <c r="A254">
        <v>137</v>
      </c>
      <c r="B254">
        <f>LEN(C254)</f>
        <v>0</v>
      </c>
    </row>
    <row r="255" spans="1:2" x14ac:dyDescent="0.25">
      <c r="A255">
        <v>12</v>
      </c>
      <c r="B255">
        <f>LEN(C255)</f>
        <v>0</v>
      </c>
    </row>
    <row r="256" spans="1:2" x14ac:dyDescent="0.25">
      <c r="A256">
        <v>15</v>
      </c>
      <c r="B256">
        <f>LEN(C256)</f>
        <v>0</v>
      </c>
    </row>
    <row r="257" spans="1:2" x14ac:dyDescent="0.25">
      <c r="A257">
        <v>100</v>
      </c>
      <c r="B257">
        <f>LEN(C257)</f>
        <v>0</v>
      </c>
    </row>
    <row r="258" spans="1:2" x14ac:dyDescent="0.25">
      <c r="A258">
        <v>216</v>
      </c>
      <c r="B258">
        <f>LEN(C258)</f>
        <v>0</v>
      </c>
    </row>
    <row r="259" spans="1:2" x14ac:dyDescent="0.25">
      <c r="A259">
        <v>112</v>
      </c>
      <c r="B259">
        <f>LEN(C259)</f>
        <v>0</v>
      </c>
    </row>
    <row r="260" spans="1:2" x14ac:dyDescent="0.25">
      <c r="A260">
        <v>142</v>
      </c>
      <c r="B260">
        <f>LEN(C260)</f>
        <v>0</v>
      </c>
    </row>
    <row r="261" spans="1:2" x14ac:dyDescent="0.25">
      <c r="A261">
        <v>74</v>
      </c>
      <c r="B261">
        <f>LEN(C261)</f>
        <v>0</v>
      </c>
    </row>
    <row r="262" spans="1:2" x14ac:dyDescent="0.25">
      <c r="A262">
        <v>191</v>
      </c>
      <c r="B262">
        <f>LEN(C262)</f>
        <v>0</v>
      </c>
    </row>
    <row r="263" spans="1:2" x14ac:dyDescent="0.25">
      <c r="A263">
        <v>209</v>
      </c>
      <c r="B263">
        <f>LEN(C263)</f>
        <v>0</v>
      </c>
    </row>
    <row r="264" spans="1:2" x14ac:dyDescent="0.25">
      <c r="A264">
        <v>165</v>
      </c>
      <c r="B264">
        <f>LEN(C264)</f>
        <v>0</v>
      </c>
    </row>
    <row r="265" spans="1:2" x14ac:dyDescent="0.25">
      <c r="A265">
        <v>62</v>
      </c>
      <c r="B265">
        <f>LEN(C265)</f>
        <v>0</v>
      </c>
    </row>
    <row r="266" spans="1:2" x14ac:dyDescent="0.25">
      <c r="A266">
        <v>14</v>
      </c>
      <c r="B266">
        <f>LEN(C266)</f>
        <v>0</v>
      </c>
    </row>
    <row r="267" spans="1:2" x14ac:dyDescent="0.25">
      <c r="A267">
        <v>80</v>
      </c>
      <c r="B267">
        <f>LEN(C267)</f>
        <v>0</v>
      </c>
    </row>
    <row r="268" spans="1:2" x14ac:dyDescent="0.25">
      <c r="A268">
        <v>202</v>
      </c>
      <c r="B268">
        <f>LEN(C268)</f>
        <v>0</v>
      </c>
    </row>
    <row r="269" spans="1:2" x14ac:dyDescent="0.25">
      <c r="A269">
        <v>260</v>
      </c>
      <c r="B269">
        <f>LEN(C269)</f>
        <v>0</v>
      </c>
    </row>
    <row r="270" spans="1:2" x14ac:dyDescent="0.25">
      <c r="A270">
        <v>128</v>
      </c>
      <c r="B270">
        <f>LEN(C270)</f>
        <v>0</v>
      </c>
    </row>
    <row r="271" spans="1:2" x14ac:dyDescent="0.25">
      <c r="A271">
        <v>94</v>
      </c>
      <c r="B271">
        <f>LEN(C271)</f>
        <v>0</v>
      </c>
    </row>
    <row r="272" spans="1:2" x14ac:dyDescent="0.25">
      <c r="A272">
        <v>254</v>
      </c>
      <c r="B272">
        <f>LEN(C272)</f>
        <v>0</v>
      </c>
    </row>
    <row r="273" spans="1:2" x14ac:dyDescent="0.25">
      <c r="A273">
        <v>259</v>
      </c>
      <c r="B273">
        <f>LEN(C273)</f>
        <v>0</v>
      </c>
    </row>
    <row r="274" spans="1:2" x14ac:dyDescent="0.25">
      <c r="A274">
        <v>273</v>
      </c>
      <c r="B274">
        <f>LEN(C274)</f>
        <v>0</v>
      </c>
    </row>
    <row r="275" spans="1:2" x14ac:dyDescent="0.25">
      <c r="A275">
        <v>257</v>
      </c>
      <c r="B275">
        <f>LEN(C275)</f>
        <v>0</v>
      </c>
    </row>
    <row r="276" spans="1:2" x14ac:dyDescent="0.25">
      <c r="A276">
        <v>141</v>
      </c>
      <c r="B276">
        <f>LEN(C276)</f>
        <v>0</v>
      </c>
    </row>
    <row r="277" spans="1:2" x14ac:dyDescent="0.25">
      <c r="A277">
        <v>275</v>
      </c>
      <c r="B277">
        <f>LEN(C277)</f>
        <v>0</v>
      </c>
    </row>
    <row r="278" spans="1:2" x14ac:dyDescent="0.25">
      <c r="A278">
        <v>276</v>
      </c>
      <c r="B278">
        <f>LEN(C278)</f>
        <v>0</v>
      </c>
    </row>
    <row r="279" spans="1:2" x14ac:dyDescent="0.25">
      <c r="A279">
        <v>277</v>
      </c>
      <c r="B279">
        <f>LEN(C279)</f>
        <v>0</v>
      </c>
    </row>
    <row r="280" spans="1:2" x14ac:dyDescent="0.25">
      <c r="A280">
        <v>278</v>
      </c>
      <c r="B280">
        <f>LEN(C280)</f>
        <v>0</v>
      </c>
    </row>
    <row r="281" spans="1:2" x14ac:dyDescent="0.25">
      <c r="A281">
        <v>279</v>
      </c>
      <c r="B281">
        <f>LEN(C281)</f>
        <v>0</v>
      </c>
    </row>
    <row r="282" spans="1:2" x14ac:dyDescent="0.25">
      <c r="A282">
        <v>280</v>
      </c>
      <c r="B282">
        <f>LEN(C282)</f>
        <v>0</v>
      </c>
    </row>
    <row r="283" spans="1:2" x14ac:dyDescent="0.25">
      <c r="A283">
        <v>281</v>
      </c>
      <c r="B283">
        <f>LEN(C283)</f>
        <v>0</v>
      </c>
    </row>
    <row r="284" spans="1:2" x14ac:dyDescent="0.25">
      <c r="A284">
        <v>282</v>
      </c>
      <c r="B284">
        <f>LEN(C284)</f>
        <v>0</v>
      </c>
    </row>
    <row r="285" spans="1:2" x14ac:dyDescent="0.25">
      <c r="A285">
        <v>283</v>
      </c>
      <c r="B285">
        <f>LEN(C285)</f>
        <v>0</v>
      </c>
    </row>
    <row r="286" spans="1:2" x14ac:dyDescent="0.25">
      <c r="A286">
        <v>284</v>
      </c>
      <c r="B286">
        <f>LEN(C286)</f>
        <v>0</v>
      </c>
    </row>
    <row r="287" spans="1:2" x14ac:dyDescent="0.25">
      <c r="A287">
        <v>220</v>
      </c>
      <c r="B287">
        <f>LEN(C287)</f>
        <v>0</v>
      </c>
    </row>
    <row r="288" spans="1:2" x14ac:dyDescent="0.25">
      <c r="A288">
        <v>221</v>
      </c>
      <c r="B288">
        <f>LEN(C288)</f>
        <v>0</v>
      </c>
    </row>
    <row r="289" spans="1:2" x14ac:dyDescent="0.25">
      <c r="A289">
        <v>222</v>
      </c>
      <c r="B289">
        <f>LEN(C289)</f>
        <v>0</v>
      </c>
    </row>
    <row r="290" spans="1:2" x14ac:dyDescent="0.25">
      <c r="A290">
        <v>290</v>
      </c>
      <c r="B290">
        <f>LEN(C290)</f>
        <v>0</v>
      </c>
    </row>
    <row r="291" spans="1:2" x14ac:dyDescent="0.25">
      <c r="A291">
        <v>291</v>
      </c>
      <c r="B291">
        <f>LEN(C291)</f>
        <v>0</v>
      </c>
    </row>
    <row r="292" spans="1:2" x14ac:dyDescent="0.25">
      <c r="A292">
        <v>292</v>
      </c>
      <c r="B292">
        <f>LEN(C292)</f>
        <v>0</v>
      </c>
    </row>
    <row r="293" spans="1:2" x14ac:dyDescent="0.25">
      <c r="A293">
        <v>293</v>
      </c>
      <c r="B293">
        <f>LEN(C293)</f>
        <v>0</v>
      </c>
    </row>
    <row r="294" spans="1:2" x14ac:dyDescent="0.25">
      <c r="A294">
        <v>294</v>
      </c>
      <c r="B294">
        <f>LEN(C294)</f>
        <v>0</v>
      </c>
    </row>
    <row r="295" spans="1:2" x14ac:dyDescent="0.25">
      <c r="A295">
        <v>295</v>
      </c>
      <c r="B295">
        <f>LEN(C295)</f>
        <v>0</v>
      </c>
    </row>
    <row r="296" spans="1:2" x14ac:dyDescent="0.25">
      <c r="A296">
        <v>296</v>
      </c>
      <c r="B296">
        <f>LEN(C296)</f>
        <v>0</v>
      </c>
    </row>
    <row r="297" spans="1:2" x14ac:dyDescent="0.25">
      <c r="A297">
        <v>297</v>
      </c>
      <c r="B297">
        <f>LEN(C297)</f>
        <v>0</v>
      </c>
    </row>
    <row r="298" spans="1:2" x14ac:dyDescent="0.25">
      <c r="A298">
        <v>298</v>
      </c>
      <c r="B298">
        <f>LEN(C298)</f>
        <v>0</v>
      </c>
    </row>
    <row r="299" spans="1:2" x14ac:dyDescent="0.25">
      <c r="A299">
        <v>299</v>
      </c>
      <c r="B299">
        <f>LEN(C299)</f>
        <v>0</v>
      </c>
    </row>
    <row r="300" spans="1:2" x14ac:dyDescent="0.25">
      <c r="A300">
        <v>300</v>
      </c>
      <c r="B300">
        <f>LEN(C300)</f>
        <v>0</v>
      </c>
    </row>
    <row r="301" spans="1:2" x14ac:dyDescent="0.25">
      <c r="A301">
        <v>301</v>
      </c>
      <c r="B301">
        <f>LEN(C301)</f>
        <v>0</v>
      </c>
    </row>
    <row r="302" spans="1:2" x14ac:dyDescent="0.25">
      <c r="A302">
        <v>302</v>
      </c>
      <c r="B302">
        <f>LEN(C302)</f>
        <v>0</v>
      </c>
    </row>
    <row r="303" spans="1:2" x14ac:dyDescent="0.25">
      <c r="A303">
        <v>303</v>
      </c>
      <c r="B303">
        <f>LEN(C303)</f>
        <v>0</v>
      </c>
    </row>
    <row r="304" spans="1:2" x14ac:dyDescent="0.25">
      <c r="A304">
        <v>304</v>
      </c>
      <c r="B304">
        <f>LEN(C304)</f>
        <v>0</v>
      </c>
    </row>
  </sheetData>
  <sortState ref="A2:J304">
    <sortCondition descending="1" ref="B2:B304"/>
  </sortState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D218"/>
  <sheetViews>
    <sheetView topLeftCell="D203" workbookViewId="0">
      <selection activeCell="B1" sqref="B1:D218"/>
    </sheetView>
  </sheetViews>
  <sheetFormatPr defaultColWidth="11.42578125" defaultRowHeight="15" x14ac:dyDescent="0.25"/>
  <cols>
    <col min="3" max="3" width="94.42578125" bestFit="1" customWidth="1"/>
    <col min="4" max="4" width="57.7109375" bestFit="1" customWidth="1"/>
  </cols>
  <sheetData>
    <row r="1" spans="1:4" x14ac:dyDescent="0.25">
      <c r="A1">
        <v>1</v>
      </c>
      <c r="B1" t="s">
        <v>10</v>
      </c>
      <c r="C1" t="s">
        <v>11</v>
      </c>
      <c r="D1" t="s">
        <v>12</v>
      </c>
    </row>
    <row r="2" spans="1:4" x14ac:dyDescent="0.25">
      <c r="A2">
        <v>3</v>
      </c>
      <c r="B2" t="s">
        <v>13</v>
      </c>
      <c r="C2" t="s">
        <v>14</v>
      </c>
      <c r="D2" t="s">
        <v>15</v>
      </c>
    </row>
    <row r="3" spans="1:4" x14ac:dyDescent="0.25">
      <c r="A3">
        <v>5</v>
      </c>
      <c r="B3" t="s">
        <v>650</v>
      </c>
      <c r="C3" t="s">
        <v>651</v>
      </c>
      <c r="D3" t="s">
        <v>652</v>
      </c>
    </row>
    <row r="4" spans="1:4" x14ac:dyDescent="0.25">
      <c r="A4">
        <v>7</v>
      </c>
      <c r="B4" t="s">
        <v>253</v>
      </c>
      <c r="C4" t="s">
        <v>254</v>
      </c>
      <c r="D4" t="s">
        <v>255</v>
      </c>
    </row>
    <row r="5" spans="1:4" x14ac:dyDescent="0.25">
      <c r="A5">
        <v>9</v>
      </c>
      <c r="B5" t="s">
        <v>256</v>
      </c>
      <c r="C5" t="s">
        <v>257</v>
      </c>
      <c r="D5" t="s">
        <v>258</v>
      </c>
    </row>
    <row r="6" spans="1:4" x14ac:dyDescent="0.25">
      <c r="A6">
        <v>11</v>
      </c>
      <c r="B6" t="s">
        <v>16</v>
      </c>
      <c r="C6" t="s">
        <v>17</v>
      </c>
      <c r="D6" t="s">
        <v>18</v>
      </c>
    </row>
    <row r="7" spans="1:4" x14ac:dyDescent="0.25">
      <c r="A7">
        <v>13</v>
      </c>
      <c r="B7" t="s">
        <v>259</v>
      </c>
      <c r="C7" t="s">
        <v>260</v>
      </c>
      <c r="D7" t="s">
        <v>261</v>
      </c>
    </row>
    <row r="8" spans="1:4" x14ac:dyDescent="0.25">
      <c r="A8">
        <v>15</v>
      </c>
      <c r="B8" t="s">
        <v>262</v>
      </c>
      <c r="C8" t="s">
        <v>263</v>
      </c>
      <c r="D8" t="s">
        <v>264</v>
      </c>
    </row>
    <row r="9" spans="1:4" x14ac:dyDescent="0.25">
      <c r="A9">
        <v>17</v>
      </c>
      <c r="B9" t="s">
        <v>265</v>
      </c>
      <c r="C9" t="s">
        <v>266</v>
      </c>
      <c r="D9" t="s">
        <v>267</v>
      </c>
    </row>
    <row r="10" spans="1:4" x14ac:dyDescent="0.25">
      <c r="A10">
        <v>19</v>
      </c>
      <c r="B10" t="s">
        <v>268</v>
      </c>
      <c r="C10" t="s">
        <v>269</v>
      </c>
      <c r="D10" t="s">
        <v>270</v>
      </c>
    </row>
    <row r="11" spans="1:4" x14ac:dyDescent="0.25">
      <c r="A11">
        <v>21</v>
      </c>
      <c r="B11" t="s">
        <v>271</v>
      </c>
      <c r="C11" t="s">
        <v>272</v>
      </c>
      <c r="D11" t="s">
        <v>273</v>
      </c>
    </row>
    <row r="12" spans="1:4" x14ac:dyDescent="0.25">
      <c r="A12">
        <v>23</v>
      </c>
      <c r="B12" t="s">
        <v>274</v>
      </c>
      <c r="C12" t="s">
        <v>275</v>
      </c>
      <c r="D12" t="s">
        <v>276</v>
      </c>
    </row>
    <row r="13" spans="1:4" x14ac:dyDescent="0.25">
      <c r="A13">
        <v>25</v>
      </c>
      <c r="B13" t="s">
        <v>19</v>
      </c>
      <c r="C13" t="s">
        <v>20</v>
      </c>
      <c r="D13" t="s">
        <v>21</v>
      </c>
    </row>
    <row r="14" spans="1:4" x14ac:dyDescent="0.25">
      <c r="A14">
        <v>27</v>
      </c>
      <c r="B14" t="s">
        <v>277</v>
      </c>
      <c r="C14" t="s">
        <v>278</v>
      </c>
      <c r="D14" t="s">
        <v>279</v>
      </c>
    </row>
    <row r="15" spans="1:4" x14ac:dyDescent="0.25">
      <c r="A15">
        <v>29</v>
      </c>
      <c r="B15" t="s">
        <v>22</v>
      </c>
      <c r="C15" t="s">
        <v>23</v>
      </c>
      <c r="D15" t="s">
        <v>24</v>
      </c>
    </row>
    <row r="16" spans="1:4" x14ac:dyDescent="0.25">
      <c r="A16">
        <v>31</v>
      </c>
      <c r="B16" t="s">
        <v>280</v>
      </c>
      <c r="C16" t="s">
        <v>281</v>
      </c>
      <c r="D16" t="s">
        <v>282</v>
      </c>
    </row>
    <row r="17" spans="1:4" x14ac:dyDescent="0.25">
      <c r="A17">
        <v>33</v>
      </c>
      <c r="B17" t="s">
        <v>283</v>
      </c>
      <c r="C17" t="s">
        <v>284</v>
      </c>
      <c r="D17" t="s">
        <v>285</v>
      </c>
    </row>
    <row r="18" spans="1:4" x14ac:dyDescent="0.25">
      <c r="A18">
        <v>2</v>
      </c>
      <c r="B18" t="s">
        <v>286</v>
      </c>
      <c r="C18" t="s">
        <v>287</v>
      </c>
      <c r="D18" t="s">
        <v>288</v>
      </c>
    </row>
    <row r="19" spans="1:4" x14ac:dyDescent="0.25">
      <c r="A19">
        <v>4</v>
      </c>
      <c r="B19" t="s">
        <v>25</v>
      </c>
      <c r="C19" t="s">
        <v>26</v>
      </c>
      <c r="D19" t="s">
        <v>27</v>
      </c>
    </row>
    <row r="20" spans="1:4" x14ac:dyDescent="0.25">
      <c r="A20">
        <v>6</v>
      </c>
      <c r="B20" t="s">
        <v>289</v>
      </c>
      <c r="C20" t="s">
        <v>290</v>
      </c>
      <c r="D20" t="s">
        <v>291</v>
      </c>
    </row>
    <row r="21" spans="1:4" x14ac:dyDescent="0.25">
      <c r="A21">
        <v>8</v>
      </c>
      <c r="B21" t="s">
        <v>28</v>
      </c>
      <c r="C21" t="s">
        <v>29</v>
      </c>
      <c r="D21" t="s">
        <v>30</v>
      </c>
    </row>
    <row r="22" spans="1:4" x14ac:dyDescent="0.25">
      <c r="A22">
        <v>10</v>
      </c>
      <c r="B22" t="s">
        <v>292</v>
      </c>
      <c r="C22" t="s">
        <v>293</v>
      </c>
      <c r="D22" t="s">
        <v>294</v>
      </c>
    </row>
    <row r="23" spans="1:4" x14ac:dyDescent="0.25">
      <c r="A23">
        <v>12</v>
      </c>
      <c r="B23" t="s">
        <v>31</v>
      </c>
      <c r="C23" t="s">
        <v>32</v>
      </c>
      <c r="D23" t="s">
        <v>33</v>
      </c>
    </row>
    <row r="24" spans="1:4" x14ac:dyDescent="0.25">
      <c r="A24">
        <v>14</v>
      </c>
      <c r="B24" t="s">
        <v>295</v>
      </c>
      <c r="C24" t="s">
        <v>296</v>
      </c>
      <c r="D24" t="s">
        <v>297</v>
      </c>
    </row>
    <row r="25" spans="1:4" x14ac:dyDescent="0.25">
      <c r="A25">
        <v>16</v>
      </c>
      <c r="B25" t="s">
        <v>298</v>
      </c>
      <c r="C25" t="s">
        <v>299</v>
      </c>
      <c r="D25" t="s">
        <v>300</v>
      </c>
    </row>
    <row r="26" spans="1:4" x14ac:dyDescent="0.25">
      <c r="A26">
        <v>18</v>
      </c>
      <c r="B26" t="s">
        <v>34</v>
      </c>
      <c r="C26" t="s">
        <v>35</v>
      </c>
      <c r="D26" t="s">
        <v>36</v>
      </c>
    </row>
    <row r="27" spans="1:4" x14ac:dyDescent="0.25">
      <c r="A27">
        <v>20</v>
      </c>
      <c r="B27" t="s">
        <v>301</v>
      </c>
      <c r="C27" t="s">
        <v>302</v>
      </c>
      <c r="D27" t="s">
        <v>303</v>
      </c>
    </row>
    <row r="28" spans="1:4" x14ac:dyDescent="0.25">
      <c r="A28">
        <v>22</v>
      </c>
      <c r="B28" t="s">
        <v>37</v>
      </c>
      <c r="C28" t="s">
        <v>38</v>
      </c>
      <c r="D28" t="s">
        <v>39</v>
      </c>
    </row>
    <row r="29" spans="1:4" x14ac:dyDescent="0.25">
      <c r="A29">
        <v>24</v>
      </c>
      <c r="B29" t="s">
        <v>304</v>
      </c>
      <c r="C29" t="s">
        <v>305</v>
      </c>
      <c r="D29" t="s">
        <v>306</v>
      </c>
    </row>
    <row r="30" spans="1:4" x14ac:dyDescent="0.25">
      <c r="A30">
        <v>26</v>
      </c>
      <c r="B30" t="s">
        <v>40</v>
      </c>
      <c r="C30" t="s">
        <v>41</v>
      </c>
      <c r="D30" t="s">
        <v>42</v>
      </c>
    </row>
    <row r="31" spans="1:4" x14ac:dyDescent="0.25">
      <c r="A31">
        <v>28</v>
      </c>
      <c r="B31" t="s">
        <v>271</v>
      </c>
      <c r="C31" t="s">
        <v>307</v>
      </c>
      <c r="D31" t="s">
        <v>308</v>
      </c>
    </row>
    <row r="32" spans="1:4" x14ac:dyDescent="0.25">
      <c r="A32">
        <v>30</v>
      </c>
      <c r="B32" t="s">
        <v>43</v>
      </c>
      <c r="C32" t="s">
        <v>44</v>
      </c>
      <c r="D32" t="s">
        <v>45</v>
      </c>
    </row>
    <row r="33" spans="1:4" x14ac:dyDescent="0.25">
      <c r="A33">
        <v>32</v>
      </c>
      <c r="B33" t="s">
        <v>46</v>
      </c>
      <c r="C33" t="s">
        <v>47</v>
      </c>
      <c r="D33" t="s">
        <v>48</v>
      </c>
    </row>
    <row r="34" spans="1:4" x14ac:dyDescent="0.25">
      <c r="A34">
        <v>34</v>
      </c>
      <c r="B34" t="s">
        <v>309</v>
      </c>
      <c r="C34" t="s">
        <v>310</v>
      </c>
      <c r="D34" t="s">
        <v>311</v>
      </c>
    </row>
    <row r="35" spans="1:4" x14ac:dyDescent="0.25">
      <c r="A35">
        <v>35</v>
      </c>
      <c r="B35" t="s">
        <v>49</v>
      </c>
      <c r="C35" t="s">
        <v>50</v>
      </c>
      <c r="D35" t="s">
        <v>51</v>
      </c>
    </row>
    <row r="36" spans="1:4" x14ac:dyDescent="0.25">
      <c r="A36">
        <v>36</v>
      </c>
      <c r="B36" t="s">
        <v>312</v>
      </c>
      <c r="C36" t="s">
        <v>313</v>
      </c>
      <c r="D36" t="s">
        <v>314</v>
      </c>
    </row>
    <row r="37" spans="1:4" x14ac:dyDescent="0.25">
      <c r="A37">
        <v>37</v>
      </c>
      <c r="B37" t="s">
        <v>49</v>
      </c>
      <c r="C37" t="s">
        <v>52</v>
      </c>
      <c r="D37" t="s">
        <v>53</v>
      </c>
    </row>
    <row r="38" spans="1:4" x14ac:dyDescent="0.25">
      <c r="A38">
        <v>38</v>
      </c>
      <c r="B38" t="s">
        <v>49</v>
      </c>
      <c r="C38" t="s">
        <v>54</v>
      </c>
      <c r="D38" t="s">
        <v>55</v>
      </c>
    </row>
    <row r="39" spans="1:4" x14ac:dyDescent="0.25">
      <c r="A39">
        <v>39</v>
      </c>
      <c r="B39" t="s">
        <v>315</v>
      </c>
      <c r="C39" t="s">
        <v>316</v>
      </c>
      <c r="D39" t="s">
        <v>317</v>
      </c>
    </row>
    <row r="40" spans="1:4" x14ac:dyDescent="0.25">
      <c r="A40">
        <v>40</v>
      </c>
      <c r="B40" t="s">
        <v>318</v>
      </c>
      <c r="C40" t="s">
        <v>319</v>
      </c>
      <c r="D40" t="s">
        <v>320</v>
      </c>
    </row>
    <row r="41" spans="1:4" x14ac:dyDescent="0.25">
      <c r="A41">
        <v>41</v>
      </c>
      <c r="B41" t="s">
        <v>49</v>
      </c>
      <c r="C41" t="s">
        <v>56</v>
      </c>
      <c r="D41" t="s">
        <v>57</v>
      </c>
    </row>
    <row r="42" spans="1:4" x14ac:dyDescent="0.25">
      <c r="A42">
        <v>42</v>
      </c>
      <c r="B42" t="s">
        <v>58</v>
      </c>
      <c r="C42" t="s">
        <v>59</v>
      </c>
      <c r="D42" t="s">
        <v>60</v>
      </c>
    </row>
    <row r="43" spans="1:4" x14ac:dyDescent="0.25">
      <c r="A43">
        <v>43</v>
      </c>
      <c r="B43" t="s">
        <v>321</v>
      </c>
      <c r="C43" t="s">
        <v>322</v>
      </c>
      <c r="D43" t="s">
        <v>323</v>
      </c>
    </row>
    <row r="44" spans="1:4" x14ac:dyDescent="0.25">
      <c r="A44">
        <v>44</v>
      </c>
      <c r="B44" t="s">
        <v>61</v>
      </c>
      <c r="C44" t="s">
        <v>62</v>
      </c>
      <c r="D44" t="s">
        <v>63</v>
      </c>
    </row>
    <row r="45" spans="1:4" x14ac:dyDescent="0.25">
      <c r="A45">
        <v>45</v>
      </c>
      <c r="B45" t="s">
        <v>324</v>
      </c>
      <c r="C45" t="s">
        <v>325</v>
      </c>
      <c r="D45" t="s">
        <v>326</v>
      </c>
    </row>
    <row r="46" spans="1:4" x14ac:dyDescent="0.25">
      <c r="A46">
        <v>46</v>
      </c>
      <c r="B46" t="s">
        <v>641</v>
      </c>
      <c r="C46" t="s">
        <v>642</v>
      </c>
      <c r="D46" t="s">
        <v>643</v>
      </c>
    </row>
    <row r="47" spans="1:4" x14ac:dyDescent="0.25">
      <c r="A47">
        <v>47</v>
      </c>
      <c r="B47" t="s">
        <v>327</v>
      </c>
      <c r="C47" t="s">
        <v>328</v>
      </c>
      <c r="D47" t="s">
        <v>329</v>
      </c>
    </row>
    <row r="48" spans="1:4" x14ac:dyDescent="0.25">
      <c r="A48">
        <v>48</v>
      </c>
      <c r="B48" t="s">
        <v>330</v>
      </c>
      <c r="C48" t="s">
        <v>331</v>
      </c>
      <c r="D48" t="s">
        <v>332</v>
      </c>
    </row>
    <row r="49" spans="1:4" x14ac:dyDescent="0.25">
      <c r="A49">
        <v>49</v>
      </c>
      <c r="B49" t="s">
        <v>333</v>
      </c>
      <c r="C49" t="s">
        <v>334</v>
      </c>
      <c r="D49" t="s">
        <v>335</v>
      </c>
    </row>
    <row r="50" spans="1:4" x14ac:dyDescent="0.25">
      <c r="A50">
        <v>50</v>
      </c>
      <c r="B50" t="s">
        <v>336</v>
      </c>
      <c r="C50" t="s">
        <v>337</v>
      </c>
      <c r="D50" t="s">
        <v>338</v>
      </c>
    </row>
    <row r="51" spans="1:4" x14ac:dyDescent="0.25">
      <c r="A51">
        <v>51</v>
      </c>
      <c r="B51" t="s">
        <v>339</v>
      </c>
      <c r="C51" t="s">
        <v>340</v>
      </c>
      <c r="D51" t="s">
        <v>341</v>
      </c>
    </row>
    <row r="52" spans="1:4" x14ac:dyDescent="0.25">
      <c r="A52">
        <v>52</v>
      </c>
      <c r="B52" t="s">
        <v>342</v>
      </c>
      <c r="C52" t="s">
        <v>343</v>
      </c>
      <c r="D52" t="s">
        <v>344</v>
      </c>
    </row>
    <row r="53" spans="1:4" x14ac:dyDescent="0.25">
      <c r="A53">
        <v>53</v>
      </c>
      <c r="B53" t="s">
        <v>345</v>
      </c>
      <c r="C53" t="s">
        <v>346</v>
      </c>
      <c r="D53" t="s">
        <v>347</v>
      </c>
    </row>
    <row r="54" spans="1:4" x14ac:dyDescent="0.25">
      <c r="A54">
        <v>54</v>
      </c>
      <c r="B54" t="s">
        <v>64</v>
      </c>
      <c r="C54" t="s">
        <v>65</v>
      </c>
      <c r="D54" t="s">
        <v>66</v>
      </c>
    </row>
    <row r="55" spans="1:4" x14ac:dyDescent="0.25">
      <c r="A55">
        <v>55</v>
      </c>
      <c r="B55" t="s">
        <v>348</v>
      </c>
      <c r="C55" t="s">
        <v>349</v>
      </c>
      <c r="D55" t="s">
        <v>350</v>
      </c>
    </row>
    <row r="56" spans="1:4" x14ac:dyDescent="0.25">
      <c r="A56">
        <v>56</v>
      </c>
      <c r="B56" t="s">
        <v>351</v>
      </c>
      <c r="C56" t="s">
        <v>352</v>
      </c>
      <c r="D56" t="s">
        <v>353</v>
      </c>
    </row>
    <row r="57" spans="1:4" x14ac:dyDescent="0.25">
      <c r="A57">
        <v>57</v>
      </c>
      <c r="B57" t="s">
        <v>354</v>
      </c>
      <c r="C57" t="s">
        <v>355</v>
      </c>
      <c r="D57" t="s">
        <v>356</v>
      </c>
    </row>
    <row r="58" spans="1:4" x14ac:dyDescent="0.25">
      <c r="A58">
        <v>58</v>
      </c>
      <c r="B58" t="s">
        <v>357</v>
      </c>
      <c r="C58" t="s">
        <v>358</v>
      </c>
      <c r="D58" t="s">
        <v>359</v>
      </c>
    </row>
    <row r="59" spans="1:4" x14ac:dyDescent="0.25">
      <c r="A59">
        <v>59</v>
      </c>
      <c r="B59" t="s">
        <v>360</v>
      </c>
      <c r="C59" t="s">
        <v>361</v>
      </c>
      <c r="D59" t="s">
        <v>362</v>
      </c>
    </row>
    <row r="60" spans="1:4" x14ac:dyDescent="0.25">
      <c r="A60">
        <v>60</v>
      </c>
      <c r="B60" t="s">
        <v>67</v>
      </c>
      <c r="C60" t="s">
        <v>68</v>
      </c>
      <c r="D60" t="s">
        <v>69</v>
      </c>
    </row>
    <row r="61" spans="1:4" x14ac:dyDescent="0.25">
      <c r="A61">
        <v>61</v>
      </c>
      <c r="B61" t="s">
        <v>70</v>
      </c>
      <c r="C61" t="s">
        <v>71</v>
      </c>
      <c r="D61" t="s">
        <v>72</v>
      </c>
    </row>
    <row r="62" spans="1:4" x14ac:dyDescent="0.25">
      <c r="A62">
        <v>62</v>
      </c>
      <c r="B62" t="s">
        <v>363</v>
      </c>
      <c r="C62" t="s">
        <v>364</v>
      </c>
      <c r="D62" t="s">
        <v>365</v>
      </c>
    </row>
    <row r="63" spans="1:4" x14ac:dyDescent="0.25">
      <c r="A63">
        <v>63</v>
      </c>
      <c r="B63" t="s">
        <v>366</v>
      </c>
      <c r="C63" t="s">
        <v>367</v>
      </c>
      <c r="D63" t="s">
        <v>368</v>
      </c>
    </row>
    <row r="64" spans="1:4" x14ac:dyDescent="0.25">
      <c r="A64">
        <v>64</v>
      </c>
      <c r="B64" t="s">
        <v>369</v>
      </c>
      <c r="C64" t="s">
        <v>370</v>
      </c>
      <c r="D64" t="s">
        <v>371</v>
      </c>
    </row>
    <row r="65" spans="1:4" x14ac:dyDescent="0.25">
      <c r="A65">
        <v>65</v>
      </c>
      <c r="B65" t="s">
        <v>372</v>
      </c>
      <c r="C65" t="s">
        <v>373</v>
      </c>
      <c r="D65" t="s">
        <v>374</v>
      </c>
    </row>
    <row r="66" spans="1:4" x14ac:dyDescent="0.25">
      <c r="A66">
        <v>66</v>
      </c>
      <c r="B66" t="s">
        <v>375</v>
      </c>
      <c r="C66" t="s">
        <v>376</v>
      </c>
      <c r="D66" t="s">
        <v>377</v>
      </c>
    </row>
    <row r="67" spans="1:4" x14ac:dyDescent="0.25">
      <c r="A67">
        <v>67</v>
      </c>
      <c r="B67" t="s">
        <v>378</v>
      </c>
      <c r="C67" t="s">
        <v>379</v>
      </c>
      <c r="D67" t="s">
        <v>380</v>
      </c>
    </row>
    <row r="68" spans="1:4" x14ac:dyDescent="0.25">
      <c r="A68">
        <v>68</v>
      </c>
      <c r="B68" t="s">
        <v>73</v>
      </c>
      <c r="C68" t="s">
        <v>74</v>
      </c>
      <c r="D68" t="s">
        <v>75</v>
      </c>
    </row>
    <row r="69" spans="1:4" x14ac:dyDescent="0.25">
      <c r="A69">
        <v>69</v>
      </c>
      <c r="B69" t="s">
        <v>381</v>
      </c>
      <c r="C69" t="s">
        <v>382</v>
      </c>
      <c r="D69" t="s">
        <v>383</v>
      </c>
    </row>
    <row r="70" spans="1:4" x14ac:dyDescent="0.25">
      <c r="A70">
        <v>70</v>
      </c>
      <c r="B70" t="s">
        <v>76</v>
      </c>
      <c r="C70" t="s">
        <v>77</v>
      </c>
      <c r="D70" t="s">
        <v>78</v>
      </c>
    </row>
    <row r="71" spans="1:4" x14ac:dyDescent="0.25">
      <c r="A71">
        <v>71</v>
      </c>
      <c r="B71" t="s">
        <v>384</v>
      </c>
      <c r="C71" t="s">
        <v>385</v>
      </c>
      <c r="D71" t="s">
        <v>386</v>
      </c>
    </row>
    <row r="72" spans="1:4" x14ac:dyDescent="0.25">
      <c r="A72">
        <v>72</v>
      </c>
      <c r="B72" t="s">
        <v>387</v>
      </c>
      <c r="C72" t="s">
        <v>388</v>
      </c>
      <c r="D72" t="s">
        <v>389</v>
      </c>
    </row>
    <row r="73" spans="1:4" x14ac:dyDescent="0.25">
      <c r="A73">
        <v>73</v>
      </c>
      <c r="B73" t="s">
        <v>79</v>
      </c>
      <c r="C73" t="s">
        <v>80</v>
      </c>
      <c r="D73" t="s">
        <v>81</v>
      </c>
    </row>
    <row r="74" spans="1:4" x14ac:dyDescent="0.25">
      <c r="A74">
        <v>74</v>
      </c>
      <c r="B74" t="s">
        <v>390</v>
      </c>
      <c r="C74" t="s">
        <v>391</v>
      </c>
      <c r="D74" t="s">
        <v>392</v>
      </c>
    </row>
    <row r="75" spans="1:4" x14ac:dyDescent="0.25">
      <c r="A75">
        <v>75</v>
      </c>
      <c r="B75" t="s">
        <v>82</v>
      </c>
      <c r="C75" t="s">
        <v>83</v>
      </c>
      <c r="D75" t="s">
        <v>84</v>
      </c>
    </row>
    <row r="76" spans="1:4" x14ac:dyDescent="0.25">
      <c r="A76">
        <v>76</v>
      </c>
      <c r="B76" t="s">
        <v>393</v>
      </c>
      <c r="C76" t="s">
        <v>394</v>
      </c>
      <c r="D76" t="s">
        <v>395</v>
      </c>
    </row>
    <row r="77" spans="1:4" x14ac:dyDescent="0.25">
      <c r="A77">
        <v>77</v>
      </c>
      <c r="B77" t="s">
        <v>396</v>
      </c>
      <c r="C77" t="s">
        <v>397</v>
      </c>
      <c r="D77" t="s">
        <v>398</v>
      </c>
    </row>
    <row r="78" spans="1:4" x14ac:dyDescent="0.25">
      <c r="A78">
        <v>78</v>
      </c>
      <c r="B78" t="s">
        <v>82</v>
      </c>
      <c r="C78" t="s">
        <v>85</v>
      </c>
      <c r="D78" t="s">
        <v>86</v>
      </c>
    </row>
    <row r="79" spans="1:4" x14ac:dyDescent="0.25">
      <c r="A79">
        <v>79</v>
      </c>
      <c r="B79" t="s">
        <v>399</v>
      </c>
      <c r="C79" t="s">
        <v>400</v>
      </c>
      <c r="D79" t="s">
        <v>401</v>
      </c>
    </row>
    <row r="80" spans="1:4" x14ac:dyDescent="0.25">
      <c r="A80">
        <v>80</v>
      </c>
      <c r="B80" t="s">
        <v>82</v>
      </c>
      <c r="C80" t="s">
        <v>87</v>
      </c>
      <c r="D80" t="s">
        <v>88</v>
      </c>
    </row>
    <row r="81" spans="1:4" x14ac:dyDescent="0.25">
      <c r="A81">
        <v>81</v>
      </c>
      <c r="B81" t="s">
        <v>402</v>
      </c>
      <c r="C81" t="s">
        <v>403</v>
      </c>
      <c r="D81" t="s">
        <v>404</v>
      </c>
    </row>
    <row r="82" spans="1:4" x14ac:dyDescent="0.25">
      <c r="A82">
        <v>82</v>
      </c>
      <c r="B82" t="s">
        <v>82</v>
      </c>
      <c r="C82" t="s">
        <v>89</v>
      </c>
      <c r="D82" t="s">
        <v>90</v>
      </c>
    </row>
    <row r="83" spans="1:4" x14ac:dyDescent="0.25">
      <c r="A83">
        <v>83</v>
      </c>
      <c r="B83" t="s">
        <v>405</v>
      </c>
      <c r="C83" t="s">
        <v>406</v>
      </c>
      <c r="D83" t="s">
        <v>407</v>
      </c>
    </row>
    <row r="84" spans="1:4" x14ac:dyDescent="0.25">
      <c r="A84">
        <v>84</v>
      </c>
      <c r="B84" t="s">
        <v>91</v>
      </c>
      <c r="C84" t="s">
        <v>92</v>
      </c>
      <c r="D84" t="s">
        <v>93</v>
      </c>
    </row>
    <row r="85" spans="1:4" x14ac:dyDescent="0.25">
      <c r="A85">
        <v>85</v>
      </c>
      <c r="B85" t="s">
        <v>408</v>
      </c>
      <c r="C85" t="s">
        <v>409</v>
      </c>
      <c r="D85" t="s">
        <v>410</v>
      </c>
    </row>
    <row r="86" spans="1:4" x14ac:dyDescent="0.25">
      <c r="A86">
        <v>86</v>
      </c>
      <c r="B86" t="s">
        <v>411</v>
      </c>
      <c r="C86" t="s">
        <v>412</v>
      </c>
      <c r="D86" t="s">
        <v>413</v>
      </c>
    </row>
    <row r="87" spans="1:4" x14ac:dyDescent="0.25">
      <c r="A87">
        <v>87</v>
      </c>
      <c r="B87" t="s">
        <v>414</v>
      </c>
      <c r="C87" t="s">
        <v>415</v>
      </c>
      <c r="D87" t="s">
        <v>416</v>
      </c>
    </row>
    <row r="88" spans="1:4" x14ac:dyDescent="0.25">
      <c r="A88">
        <v>88</v>
      </c>
      <c r="B88" t="s">
        <v>94</v>
      </c>
      <c r="C88" t="s">
        <v>95</v>
      </c>
      <c r="D88" t="s">
        <v>96</v>
      </c>
    </row>
    <row r="89" spans="1:4" x14ac:dyDescent="0.25">
      <c r="A89">
        <v>89</v>
      </c>
      <c r="B89" t="s">
        <v>417</v>
      </c>
      <c r="C89" t="s">
        <v>418</v>
      </c>
      <c r="D89" t="s">
        <v>419</v>
      </c>
    </row>
    <row r="90" spans="1:4" x14ac:dyDescent="0.25">
      <c r="A90">
        <v>90</v>
      </c>
      <c r="B90" t="s">
        <v>420</v>
      </c>
      <c r="C90" t="s">
        <v>421</v>
      </c>
      <c r="D90" t="s">
        <v>422</v>
      </c>
    </row>
    <row r="91" spans="1:4" x14ac:dyDescent="0.25">
      <c r="A91">
        <v>91</v>
      </c>
      <c r="B91" t="s">
        <v>423</v>
      </c>
      <c r="C91" t="s">
        <v>424</v>
      </c>
      <c r="D91" t="s">
        <v>425</v>
      </c>
    </row>
    <row r="92" spans="1:4" x14ac:dyDescent="0.25">
      <c r="A92">
        <v>92</v>
      </c>
      <c r="B92" t="s">
        <v>97</v>
      </c>
      <c r="C92" t="s">
        <v>98</v>
      </c>
      <c r="D92" t="s">
        <v>99</v>
      </c>
    </row>
    <row r="93" spans="1:4" x14ac:dyDescent="0.25">
      <c r="A93">
        <v>93</v>
      </c>
      <c r="B93" t="s">
        <v>426</v>
      </c>
      <c r="C93" t="s">
        <v>427</v>
      </c>
      <c r="D93" t="s">
        <v>428</v>
      </c>
    </row>
    <row r="94" spans="1:4" x14ac:dyDescent="0.25">
      <c r="A94">
        <v>94</v>
      </c>
      <c r="B94" t="s">
        <v>100</v>
      </c>
      <c r="C94" t="s">
        <v>101</v>
      </c>
      <c r="D94" t="s">
        <v>102</v>
      </c>
    </row>
    <row r="95" spans="1:4" x14ac:dyDescent="0.25">
      <c r="A95">
        <v>95</v>
      </c>
      <c r="B95" t="s">
        <v>429</v>
      </c>
      <c r="C95" t="s">
        <v>430</v>
      </c>
      <c r="D95" t="s">
        <v>431</v>
      </c>
    </row>
    <row r="96" spans="1:4" x14ac:dyDescent="0.25">
      <c r="A96">
        <v>96</v>
      </c>
      <c r="B96" t="s">
        <v>103</v>
      </c>
      <c r="C96" t="s">
        <v>104</v>
      </c>
      <c r="D96" t="s">
        <v>105</v>
      </c>
    </row>
    <row r="97" spans="1:4" x14ac:dyDescent="0.25">
      <c r="A97">
        <v>97</v>
      </c>
      <c r="B97" t="s">
        <v>252</v>
      </c>
      <c r="C97" t="s">
        <v>432</v>
      </c>
      <c r="D97" t="s">
        <v>433</v>
      </c>
    </row>
    <row r="98" spans="1:4" x14ac:dyDescent="0.25">
      <c r="A98">
        <v>98</v>
      </c>
      <c r="B98" t="s">
        <v>434</v>
      </c>
      <c r="C98" t="s">
        <v>435</v>
      </c>
      <c r="D98" t="s">
        <v>436</v>
      </c>
    </row>
    <row r="99" spans="1:4" x14ac:dyDescent="0.25">
      <c r="A99">
        <v>99</v>
      </c>
      <c r="B99" t="s">
        <v>437</v>
      </c>
      <c r="C99" t="s">
        <v>438</v>
      </c>
      <c r="D99" t="s">
        <v>439</v>
      </c>
    </row>
    <row r="100" spans="1:4" x14ac:dyDescent="0.25">
      <c r="A100">
        <v>100</v>
      </c>
      <c r="B100" t="s">
        <v>440</v>
      </c>
      <c r="C100" t="s">
        <v>441</v>
      </c>
      <c r="D100" t="s">
        <v>442</v>
      </c>
    </row>
    <row r="101" spans="1:4" x14ac:dyDescent="0.25">
      <c r="A101">
        <v>101</v>
      </c>
      <c r="B101" t="s">
        <v>443</v>
      </c>
      <c r="C101" t="s">
        <v>444</v>
      </c>
      <c r="D101" t="s">
        <v>445</v>
      </c>
    </row>
    <row r="102" spans="1:4" x14ac:dyDescent="0.25">
      <c r="A102">
        <v>102</v>
      </c>
      <c r="B102" t="s">
        <v>446</v>
      </c>
      <c r="C102" t="s">
        <v>447</v>
      </c>
      <c r="D102" t="s">
        <v>448</v>
      </c>
    </row>
    <row r="103" spans="1:4" x14ac:dyDescent="0.25">
      <c r="A103">
        <v>103</v>
      </c>
      <c r="B103" t="s">
        <v>449</v>
      </c>
      <c r="C103" t="s">
        <v>450</v>
      </c>
      <c r="D103" t="s">
        <v>451</v>
      </c>
    </row>
    <row r="104" spans="1:4" x14ac:dyDescent="0.25">
      <c r="A104">
        <v>104</v>
      </c>
      <c r="B104" t="s">
        <v>452</v>
      </c>
      <c r="C104" t="s">
        <v>453</v>
      </c>
      <c r="D104" t="s">
        <v>454</v>
      </c>
    </row>
    <row r="105" spans="1:4" x14ac:dyDescent="0.25">
      <c r="A105">
        <v>105</v>
      </c>
      <c r="B105" t="s">
        <v>455</v>
      </c>
      <c r="C105" t="s">
        <v>456</v>
      </c>
      <c r="D105" t="s">
        <v>457</v>
      </c>
    </row>
    <row r="106" spans="1:4" x14ac:dyDescent="0.25">
      <c r="B106" t="s">
        <v>458</v>
      </c>
      <c r="C106" t="s">
        <v>459</v>
      </c>
      <c r="D106" t="s">
        <v>460</v>
      </c>
    </row>
    <row r="107" spans="1:4" x14ac:dyDescent="0.25">
      <c r="B107" t="s">
        <v>461</v>
      </c>
      <c r="C107" t="s">
        <v>462</v>
      </c>
      <c r="D107" t="s">
        <v>463</v>
      </c>
    </row>
    <row r="108" spans="1:4" x14ac:dyDescent="0.25">
      <c r="B108" t="s">
        <v>106</v>
      </c>
      <c r="C108" t="s">
        <v>107</v>
      </c>
      <c r="D108" t="s">
        <v>108</v>
      </c>
    </row>
    <row r="109" spans="1:4" x14ac:dyDescent="0.25">
      <c r="B109" t="s">
        <v>464</v>
      </c>
      <c r="C109" t="s">
        <v>465</v>
      </c>
      <c r="D109" t="s">
        <v>466</v>
      </c>
    </row>
    <row r="110" spans="1:4" x14ac:dyDescent="0.25">
      <c r="B110" t="s">
        <v>467</v>
      </c>
      <c r="C110" t="s">
        <v>468</v>
      </c>
      <c r="D110" t="s">
        <v>469</v>
      </c>
    </row>
    <row r="111" spans="1:4" x14ac:dyDescent="0.25">
      <c r="B111" t="s">
        <v>109</v>
      </c>
      <c r="C111" t="s">
        <v>110</v>
      </c>
      <c r="D111" t="s">
        <v>111</v>
      </c>
    </row>
    <row r="112" spans="1:4" x14ac:dyDescent="0.25">
      <c r="B112" t="s">
        <v>112</v>
      </c>
      <c r="C112" t="s">
        <v>113</v>
      </c>
      <c r="D112" t="s">
        <v>114</v>
      </c>
    </row>
    <row r="113" spans="2:4" x14ac:dyDescent="0.25">
      <c r="B113" t="s">
        <v>470</v>
      </c>
      <c r="C113" t="s">
        <v>471</v>
      </c>
      <c r="D113" t="s">
        <v>472</v>
      </c>
    </row>
    <row r="114" spans="2:4" x14ac:dyDescent="0.25">
      <c r="B114" t="s">
        <v>473</v>
      </c>
      <c r="C114" t="s">
        <v>474</v>
      </c>
      <c r="D114" t="s">
        <v>475</v>
      </c>
    </row>
    <row r="115" spans="2:4" x14ac:dyDescent="0.25">
      <c r="B115" t="s">
        <v>476</v>
      </c>
      <c r="C115" t="s">
        <v>477</v>
      </c>
      <c r="D115" t="s">
        <v>478</v>
      </c>
    </row>
    <row r="116" spans="2:4" x14ac:dyDescent="0.25">
      <c r="B116" t="s">
        <v>115</v>
      </c>
      <c r="C116" t="s">
        <v>116</v>
      </c>
      <c r="D116" t="s">
        <v>117</v>
      </c>
    </row>
    <row r="117" spans="2:4" x14ac:dyDescent="0.25">
      <c r="B117" t="s">
        <v>118</v>
      </c>
      <c r="C117" t="s">
        <v>119</v>
      </c>
      <c r="D117" t="s">
        <v>120</v>
      </c>
    </row>
    <row r="118" spans="2:4" x14ac:dyDescent="0.25">
      <c r="B118" t="s">
        <v>479</v>
      </c>
      <c r="C118" t="s">
        <v>480</v>
      </c>
      <c r="D118" t="s">
        <v>481</v>
      </c>
    </row>
    <row r="119" spans="2:4" x14ac:dyDescent="0.25">
      <c r="B119" t="s">
        <v>482</v>
      </c>
      <c r="C119" t="s">
        <v>483</v>
      </c>
      <c r="D119" t="s">
        <v>484</v>
      </c>
    </row>
    <row r="120" spans="2:4" x14ac:dyDescent="0.25">
      <c r="B120" t="s">
        <v>121</v>
      </c>
      <c r="C120" t="s">
        <v>122</v>
      </c>
      <c r="D120" t="s">
        <v>123</v>
      </c>
    </row>
    <row r="121" spans="2:4" x14ac:dyDescent="0.25">
      <c r="B121" t="s">
        <v>124</v>
      </c>
      <c r="C121" t="s">
        <v>125</v>
      </c>
      <c r="D121" t="s">
        <v>126</v>
      </c>
    </row>
    <row r="122" spans="2:4" x14ac:dyDescent="0.25">
      <c r="B122" t="s">
        <v>485</v>
      </c>
      <c r="C122" t="s">
        <v>486</v>
      </c>
      <c r="D122" t="s">
        <v>487</v>
      </c>
    </row>
    <row r="123" spans="2:4" x14ac:dyDescent="0.25">
      <c r="B123" t="s">
        <v>488</v>
      </c>
      <c r="C123" t="s">
        <v>489</v>
      </c>
      <c r="D123" t="s">
        <v>490</v>
      </c>
    </row>
    <row r="124" spans="2:4" x14ac:dyDescent="0.25">
      <c r="B124" t="s">
        <v>127</v>
      </c>
      <c r="C124" t="s">
        <v>128</v>
      </c>
      <c r="D124" t="s">
        <v>129</v>
      </c>
    </row>
    <row r="125" spans="2:4" x14ac:dyDescent="0.25">
      <c r="B125" t="s">
        <v>653</v>
      </c>
      <c r="C125" t="s">
        <v>654</v>
      </c>
      <c r="D125" t="s">
        <v>655</v>
      </c>
    </row>
    <row r="126" spans="2:4" x14ac:dyDescent="0.25">
      <c r="B126" t="s">
        <v>491</v>
      </c>
      <c r="C126" t="s">
        <v>492</v>
      </c>
      <c r="D126" t="s">
        <v>493</v>
      </c>
    </row>
    <row r="127" spans="2:4" x14ac:dyDescent="0.25">
      <c r="B127" t="s">
        <v>130</v>
      </c>
      <c r="C127" t="s">
        <v>131</v>
      </c>
      <c r="D127" t="s">
        <v>132</v>
      </c>
    </row>
    <row r="128" spans="2:4" x14ac:dyDescent="0.25">
      <c r="B128" t="s">
        <v>494</v>
      </c>
      <c r="C128" t="s">
        <v>495</v>
      </c>
      <c r="D128" t="s">
        <v>496</v>
      </c>
    </row>
    <row r="129" spans="2:4" x14ac:dyDescent="0.25">
      <c r="B129" t="s">
        <v>133</v>
      </c>
      <c r="C129" t="s">
        <v>134</v>
      </c>
      <c r="D129" t="s">
        <v>135</v>
      </c>
    </row>
    <row r="130" spans="2:4" x14ac:dyDescent="0.25">
      <c r="B130" t="s">
        <v>497</v>
      </c>
      <c r="C130" t="s">
        <v>498</v>
      </c>
      <c r="D130" t="s">
        <v>499</v>
      </c>
    </row>
    <row r="131" spans="2:4" x14ac:dyDescent="0.25">
      <c r="B131" t="s">
        <v>136</v>
      </c>
      <c r="C131" t="s">
        <v>137</v>
      </c>
      <c r="D131" t="s">
        <v>138</v>
      </c>
    </row>
    <row r="132" spans="2:4" x14ac:dyDescent="0.25">
      <c r="B132" t="s">
        <v>139</v>
      </c>
      <c r="C132" t="s">
        <v>140</v>
      </c>
      <c r="D132" t="s">
        <v>141</v>
      </c>
    </row>
    <row r="133" spans="2:4" x14ac:dyDescent="0.25">
      <c r="B133" t="s">
        <v>142</v>
      </c>
      <c r="C133" t="s">
        <v>143</v>
      </c>
      <c r="D133" t="s">
        <v>144</v>
      </c>
    </row>
    <row r="134" spans="2:4" x14ac:dyDescent="0.25">
      <c r="B134" t="s">
        <v>500</v>
      </c>
      <c r="C134" t="s">
        <v>501</v>
      </c>
      <c r="D134" t="s">
        <v>502</v>
      </c>
    </row>
    <row r="135" spans="2:4" x14ac:dyDescent="0.25">
      <c r="B135" t="s">
        <v>145</v>
      </c>
      <c r="C135" t="s">
        <v>146</v>
      </c>
      <c r="D135" t="s">
        <v>147</v>
      </c>
    </row>
    <row r="136" spans="2:4" x14ac:dyDescent="0.25">
      <c r="B136" t="s">
        <v>148</v>
      </c>
      <c r="C136" t="s">
        <v>149</v>
      </c>
      <c r="D136" t="s">
        <v>150</v>
      </c>
    </row>
    <row r="137" spans="2:4" x14ac:dyDescent="0.25">
      <c r="B137" t="s">
        <v>503</v>
      </c>
      <c r="C137" t="s">
        <v>504</v>
      </c>
      <c r="D137" t="s">
        <v>505</v>
      </c>
    </row>
    <row r="138" spans="2:4" x14ac:dyDescent="0.25">
      <c r="B138" t="s">
        <v>506</v>
      </c>
      <c r="C138" t="s">
        <v>507</v>
      </c>
      <c r="D138" t="s">
        <v>508</v>
      </c>
    </row>
    <row r="139" spans="2:4" x14ac:dyDescent="0.25">
      <c r="B139" t="s">
        <v>151</v>
      </c>
      <c r="C139" t="s">
        <v>152</v>
      </c>
      <c r="D139" t="s">
        <v>153</v>
      </c>
    </row>
    <row r="140" spans="2:4" x14ac:dyDescent="0.25">
      <c r="B140" t="s">
        <v>154</v>
      </c>
      <c r="C140" t="s">
        <v>155</v>
      </c>
      <c r="D140" t="s">
        <v>156</v>
      </c>
    </row>
    <row r="141" spans="2:4" x14ac:dyDescent="0.25">
      <c r="B141" t="s">
        <v>509</v>
      </c>
      <c r="C141" t="s">
        <v>510</v>
      </c>
      <c r="D141" t="s">
        <v>511</v>
      </c>
    </row>
    <row r="142" spans="2:4" x14ac:dyDescent="0.25">
      <c r="B142" t="s">
        <v>157</v>
      </c>
      <c r="C142" t="s">
        <v>158</v>
      </c>
      <c r="D142" t="s">
        <v>159</v>
      </c>
    </row>
    <row r="143" spans="2:4" x14ac:dyDescent="0.25">
      <c r="B143" t="s">
        <v>512</v>
      </c>
      <c r="C143" t="s">
        <v>513</v>
      </c>
      <c r="D143" t="s">
        <v>514</v>
      </c>
    </row>
    <row r="144" spans="2:4" x14ac:dyDescent="0.25">
      <c r="B144" t="s">
        <v>160</v>
      </c>
      <c r="C144" t="s">
        <v>161</v>
      </c>
      <c r="D144" t="s">
        <v>162</v>
      </c>
    </row>
    <row r="145" spans="2:4" x14ac:dyDescent="0.25">
      <c r="B145" t="s">
        <v>515</v>
      </c>
      <c r="C145" t="s">
        <v>516</v>
      </c>
      <c r="D145" t="s">
        <v>517</v>
      </c>
    </row>
    <row r="146" spans="2:4" x14ac:dyDescent="0.25">
      <c r="B146" t="s">
        <v>518</v>
      </c>
      <c r="C146" t="s">
        <v>519</v>
      </c>
      <c r="D146" t="s">
        <v>520</v>
      </c>
    </row>
    <row r="147" spans="2:4" x14ac:dyDescent="0.25">
      <c r="B147" t="s">
        <v>521</v>
      </c>
      <c r="C147" t="s">
        <v>522</v>
      </c>
      <c r="D147" t="s">
        <v>523</v>
      </c>
    </row>
    <row r="148" spans="2:4" x14ac:dyDescent="0.25">
      <c r="B148" t="s">
        <v>163</v>
      </c>
      <c r="C148" t="s">
        <v>164</v>
      </c>
      <c r="D148" t="s">
        <v>165</v>
      </c>
    </row>
    <row r="149" spans="2:4" x14ac:dyDescent="0.25">
      <c r="B149" t="s">
        <v>524</v>
      </c>
      <c r="C149" t="s">
        <v>525</v>
      </c>
      <c r="D149" t="s">
        <v>526</v>
      </c>
    </row>
    <row r="150" spans="2:4" x14ac:dyDescent="0.25">
      <c r="B150" t="s">
        <v>166</v>
      </c>
      <c r="C150" t="s">
        <v>167</v>
      </c>
      <c r="D150" t="s">
        <v>168</v>
      </c>
    </row>
    <row r="151" spans="2:4" x14ac:dyDescent="0.25">
      <c r="B151" t="s">
        <v>527</v>
      </c>
      <c r="C151" t="s">
        <v>528</v>
      </c>
      <c r="D151" t="s">
        <v>529</v>
      </c>
    </row>
    <row r="152" spans="2:4" x14ac:dyDescent="0.25">
      <c r="B152" t="s">
        <v>530</v>
      </c>
      <c r="C152" t="s">
        <v>531</v>
      </c>
      <c r="D152" t="s">
        <v>532</v>
      </c>
    </row>
    <row r="153" spans="2:4" x14ac:dyDescent="0.25">
      <c r="B153" t="s">
        <v>533</v>
      </c>
      <c r="C153" t="s">
        <v>534</v>
      </c>
      <c r="D153" t="s">
        <v>535</v>
      </c>
    </row>
    <row r="154" spans="2:4" x14ac:dyDescent="0.25">
      <c r="B154" t="s">
        <v>169</v>
      </c>
      <c r="C154" t="s">
        <v>170</v>
      </c>
      <c r="D154" t="s">
        <v>171</v>
      </c>
    </row>
    <row r="155" spans="2:4" x14ac:dyDescent="0.25">
      <c r="B155" t="s">
        <v>536</v>
      </c>
      <c r="C155" t="s">
        <v>537</v>
      </c>
      <c r="D155" t="s">
        <v>538</v>
      </c>
    </row>
    <row r="156" spans="2:4" x14ac:dyDescent="0.25">
      <c r="B156" t="s">
        <v>172</v>
      </c>
      <c r="C156" t="s">
        <v>173</v>
      </c>
      <c r="D156" t="s">
        <v>174</v>
      </c>
    </row>
    <row r="157" spans="2:4" x14ac:dyDescent="0.25">
      <c r="B157" t="s">
        <v>539</v>
      </c>
      <c r="C157" t="s">
        <v>540</v>
      </c>
      <c r="D157" t="s">
        <v>541</v>
      </c>
    </row>
    <row r="158" spans="2:4" x14ac:dyDescent="0.25">
      <c r="B158" t="s">
        <v>644</v>
      </c>
      <c r="C158" t="s">
        <v>645</v>
      </c>
      <c r="D158" t="s">
        <v>646</v>
      </c>
    </row>
    <row r="159" spans="2:4" x14ac:dyDescent="0.25">
      <c r="B159" t="s">
        <v>175</v>
      </c>
      <c r="C159" t="s">
        <v>176</v>
      </c>
      <c r="D159" t="s">
        <v>177</v>
      </c>
    </row>
    <row r="160" spans="2:4" x14ac:dyDescent="0.25">
      <c r="B160" t="s">
        <v>178</v>
      </c>
      <c r="C160" t="s">
        <v>179</v>
      </c>
      <c r="D160" t="s">
        <v>180</v>
      </c>
    </row>
    <row r="161" spans="2:4" x14ac:dyDescent="0.25">
      <c r="B161" t="s">
        <v>542</v>
      </c>
      <c r="C161" t="s">
        <v>543</v>
      </c>
      <c r="D161" t="s">
        <v>544</v>
      </c>
    </row>
    <row r="162" spans="2:4" x14ac:dyDescent="0.25">
      <c r="B162" t="s">
        <v>181</v>
      </c>
      <c r="C162" t="s">
        <v>182</v>
      </c>
      <c r="D162" t="s">
        <v>183</v>
      </c>
    </row>
    <row r="163" spans="2:4" x14ac:dyDescent="0.25">
      <c r="B163" t="s">
        <v>545</v>
      </c>
      <c r="C163" t="s">
        <v>546</v>
      </c>
      <c r="D163" t="s">
        <v>547</v>
      </c>
    </row>
    <row r="164" spans="2:4" x14ac:dyDescent="0.25">
      <c r="B164" t="s">
        <v>181</v>
      </c>
      <c r="C164" t="s">
        <v>184</v>
      </c>
      <c r="D164" t="s">
        <v>185</v>
      </c>
    </row>
    <row r="165" spans="2:4" x14ac:dyDescent="0.25">
      <c r="B165" t="s">
        <v>548</v>
      </c>
      <c r="C165" t="s">
        <v>549</v>
      </c>
      <c r="D165" t="s">
        <v>550</v>
      </c>
    </row>
    <row r="166" spans="2:4" x14ac:dyDescent="0.25">
      <c r="B166" t="s">
        <v>551</v>
      </c>
      <c r="C166" t="s">
        <v>552</v>
      </c>
      <c r="D166" t="s">
        <v>553</v>
      </c>
    </row>
    <row r="167" spans="2:4" x14ac:dyDescent="0.25">
      <c r="B167" t="s">
        <v>186</v>
      </c>
      <c r="C167" t="s">
        <v>187</v>
      </c>
      <c r="D167" t="s">
        <v>188</v>
      </c>
    </row>
    <row r="168" spans="2:4" x14ac:dyDescent="0.25">
      <c r="B168" t="s">
        <v>189</v>
      </c>
      <c r="C168" t="s">
        <v>190</v>
      </c>
      <c r="D168" t="s">
        <v>191</v>
      </c>
    </row>
    <row r="169" spans="2:4" x14ac:dyDescent="0.25">
      <c r="B169" t="s">
        <v>554</v>
      </c>
      <c r="C169" t="s">
        <v>555</v>
      </c>
      <c r="D169" t="s">
        <v>556</v>
      </c>
    </row>
    <row r="170" spans="2:4" x14ac:dyDescent="0.25">
      <c r="B170" t="s">
        <v>557</v>
      </c>
      <c r="C170" t="s">
        <v>558</v>
      </c>
      <c r="D170" t="s">
        <v>559</v>
      </c>
    </row>
    <row r="171" spans="2:4" x14ac:dyDescent="0.25">
      <c r="B171" t="s">
        <v>647</v>
      </c>
      <c r="C171" t="s">
        <v>648</v>
      </c>
      <c r="D171" t="s">
        <v>649</v>
      </c>
    </row>
    <row r="172" spans="2:4" x14ac:dyDescent="0.25">
      <c r="B172" t="s">
        <v>192</v>
      </c>
      <c r="C172" t="s">
        <v>193</v>
      </c>
      <c r="D172" t="s">
        <v>194</v>
      </c>
    </row>
    <row r="173" spans="2:4" x14ac:dyDescent="0.25">
      <c r="B173" t="s">
        <v>560</v>
      </c>
      <c r="C173" t="s">
        <v>561</v>
      </c>
      <c r="D173" t="s">
        <v>562</v>
      </c>
    </row>
    <row r="174" spans="2:4" x14ac:dyDescent="0.25">
      <c r="B174" t="s">
        <v>563</v>
      </c>
      <c r="C174" t="s">
        <v>564</v>
      </c>
      <c r="D174" t="s">
        <v>565</v>
      </c>
    </row>
    <row r="175" spans="2:4" x14ac:dyDescent="0.25">
      <c r="B175" t="s">
        <v>195</v>
      </c>
      <c r="C175" t="s">
        <v>196</v>
      </c>
      <c r="D175" t="s">
        <v>197</v>
      </c>
    </row>
    <row r="176" spans="2:4" x14ac:dyDescent="0.25">
      <c r="B176" t="s">
        <v>198</v>
      </c>
      <c r="C176" t="s">
        <v>199</v>
      </c>
      <c r="D176" t="s">
        <v>200</v>
      </c>
    </row>
    <row r="177" spans="2:4" x14ac:dyDescent="0.25">
      <c r="B177" t="s">
        <v>566</v>
      </c>
      <c r="C177" t="s">
        <v>567</v>
      </c>
      <c r="D177" t="s">
        <v>568</v>
      </c>
    </row>
    <row r="178" spans="2:4" x14ac:dyDescent="0.25">
      <c r="B178" t="s">
        <v>201</v>
      </c>
      <c r="C178" t="s">
        <v>202</v>
      </c>
      <c r="D178" t="s">
        <v>203</v>
      </c>
    </row>
    <row r="179" spans="2:4" x14ac:dyDescent="0.25">
      <c r="B179" t="s">
        <v>204</v>
      </c>
      <c r="C179" t="s">
        <v>205</v>
      </c>
      <c r="D179" t="s">
        <v>206</v>
      </c>
    </row>
    <row r="180" spans="2:4" x14ac:dyDescent="0.25">
      <c r="B180" t="s">
        <v>207</v>
      </c>
      <c r="C180" t="s">
        <v>208</v>
      </c>
      <c r="D180" t="s">
        <v>209</v>
      </c>
    </row>
    <row r="181" spans="2:4" x14ac:dyDescent="0.25">
      <c r="B181" t="s">
        <v>569</v>
      </c>
      <c r="C181" t="s">
        <v>570</v>
      </c>
      <c r="D181" t="s">
        <v>571</v>
      </c>
    </row>
    <row r="182" spans="2:4" x14ac:dyDescent="0.25">
      <c r="B182" t="s">
        <v>572</v>
      </c>
      <c r="C182" t="s">
        <v>573</v>
      </c>
      <c r="D182" t="s">
        <v>574</v>
      </c>
    </row>
    <row r="183" spans="2:4" x14ac:dyDescent="0.25">
      <c r="B183" t="s">
        <v>575</v>
      </c>
      <c r="C183" t="s">
        <v>576</v>
      </c>
      <c r="D183" t="s">
        <v>577</v>
      </c>
    </row>
    <row r="184" spans="2:4" x14ac:dyDescent="0.25">
      <c r="B184" t="s">
        <v>578</v>
      </c>
      <c r="C184" t="s">
        <v>579</v>
      </c>
      <c r="D184" t="s">
        <v>580</v>
      </c>
    </row>
    <row r="185" spans="2:4" x14ac:dyDescent="0.25">
      <c r="B185" t="s">
        <v>581</v>
      </c>
      <c r="C185" t="s">
        <v>582</v>
      </c>
      <c r="D185" t="s">
        <v>583</v>
      </c>
    </row>
    <row r="186" spans="2:4" x14ac:dyDescent="0.25">
      <c r="B186" t="s">
        <v>210</v>
      </c>
      <c r="C186" t="s">
        <v>211</v>
      </c>
      <c r="D186" t="s">
        <v>212</v>
      </c>
    </row>
    <row r="187" spans="2:4" x14ac:dyDescent="0.25">
      <c r="B187" t="s">
        <v>584</v>
      </c>
      <c r="C187" t="s">
        <v>585</v>
      </c>
      <c r="D187" t="s">
        <v>586</v>
      </c>
    </row>
    <row r="188" spans="2:4" x14ac:dyDescent="0.25">
      <c r="B188" t="s">
        <v>213</v>
      </c>
      <c r="C188" t="s">
        <v>214</v>
      </c>
      <c r="D188" t="s">
        <v>215</v>
      </c>
    </row>
    <row r="189" spans="2:4" x14ac:dyDescent="0.25">
      <c r="B189" t="s">
        <v>587</v>
      </c>
      <c r="C189" t="s">
        <v>588</v>
      </c>
      <c r="D189" t="s">
        <v>589</v>
      </c>
    </row>
    <row r="190" spans="2:4" x14ac:dyDescent="0.25">
      <c r="B190" t="s">
        <v>216</v>
      </c>
      <c r="C190" t="s">
        <v>217</v>
      </c>
      <c r="D190" t="s">
        <v>218</v>
      </c>
    </row>
    <row r="191" spans="2:4" x14ac:dyDescent="0.25">
      <c r="B191" t="s">
        <v>219</v>
      </c>
      <c r="C191" t="s">
        <v>220</v>
      </c>
      <c r="D191" t="s">
        <v>221</v>
      </c>
    </row>
    <row r="192" spans="2:4" x14ac:dyDescent="0.25">
      <c r="B192" t="s">
        <v>590</v>
      </c>
      <c r="C192" t="s">
        <v>591</v>
      </c>
      <c r="D192" t="s">
        <v>592</v>
      </c>
    </row>
    <row r="193" spans="2:4" x14ac:dyDescent="0.25">
      <c r="B193" t="s">
        <v>593</v>
      </c>
      <c r="C193" t="s">
        <v>594</v>
      </c>
      <c r="D193" t="s">
        <v>595</v>
      </c>
    </row>
    <row r="194" spans="2:4" x14ac:dyDescent="0.25">
      <c r="B194" t="s">
        <v>222</v>
      </c>
      <c r="C194" t="s">
        <v>223</v>
      </c>
      <c r="D194" t="s">
        <v>224</v>
      </c>
    </row>
    <row r="195" spans="2:4" x14ac:dyDescent="0.25">
      <c r="B195" t="s">
        <v>225</v>
      </c>
      <c r="C195" t="s">
        <v>226</v>
      </c>
      <c r="D195" t="s">
        <v>227</v>
      </c>
    </row>
    <row r="196" spans="2:4" x14ac:dyDescent="0.25">
      <c r="B196" t="s">
        <v>596</v>
      </c>
      <c r="C196" t="s">
        <v>597</v>
      </c>
      <c r="D196" t="s">
        <v>598</v>
      </c>
    </row>
    <row r="197" spans="2:4" x14ac:dyDescent="0.25">
      <c r="B197" t="s">
        <v>599</v>
      </c>
      <c r="C197" t="s">
        <v>600</v>
      </c>
      <c r="D197" t="s">
        <v>601</v>
      </c>
    </row>
    <row r="198" spans="2:4" x14ac:dyDescent="0.25">
      <c r="B198" t="s">
        <v>602</v>
      </c>
      <c r="C198" t="s">
        <v>603</v>
      </c>
      <c r="D198" t="s">
        <v>604</v>
      </c>
    </row>
    <row r="199" spans="2:4" x14ac:dyDescent="0.25">
      <c r="B199" t="s">
        <v>228</v>
      </c>
      <c r="C199" t="s">
        <v>229</v>
      </c>
      <c r="D199" t="s">
        <v>230</v>
      </c>
    </row>
    <row r="200" spans="2:4" x14ac:dyDescent="0.25">
      <c r="B200" t="s">
        <v>231</v>
      </c>
      <c r="C200" t="s">
        <v>232</v>
      </c>
      <c r="D200" t="s">
        <v>233</v>
      </c>
    </row>
    <row r="201" spans="2:4" x14ac:dyDescent="0.25">
      <c r="B201" t="s">
        <v>605</v>
      </c>
      <c r="C201" t="s">
        <v>606</v>
      </c>
      <c r="D201" t="s">
        <v>607</v>
      </c>
    </row>
    <row r="202" spans="2:4" x14ac:dyDescent="0.25">
      <c r="B202" t="s">
        <v>234</v>
      </c>
      <c r="C202" t="s">
        <v>235</v>
      </c>
      <c r="D202" t="s">
        <v>236</v>
      </c>
    </row>
    <row r="203" spans="2:4" x14ac:dyDescent="0.25">
      <c r="B203" t="s">
        <v>608</v>
      </c>
      <c r="C203" t="s">
        <v>609</v>
      </c>
      <c r="D203" t="s">
        <v>610</v>
      </c>
    </row>
    <row r="204" spans="2:4" x14ac:dyDescent="0.25">
      <c r="B204" t="s">
        <v>611</v>
      </c>
      <c r="C204" t="s">
        <v>612</v>
      </c>
      <c r="D204" t="s">
        <v>613</v>
      </c>
    </row>
    <row r="205" spans="2:4" x14ac:dyDescent="0.25">
      <c r="B205" t="s">
        <v>614</v>
      </c>
      <c r="C205" t="s">
        <v>615</v>
      </c>
      <c r="D205" t="s">
        <v>616</v>
      </c>
    </row>
    <row r="206" spans="2:4" x14ac:dyDescent="0.25">
      <c r="B206" t="s">
        <v>617</v>
      </c>
      <c r="C206" t="s">
        <v>618</v>
      </c>
      <c r="D206" t="s">
        <v>619</v>
      </c>
    </row>
    <row r="207" spans="2:4" x14ac:dyDescent="0.25">
      <c r="B207" t="s">
        <v>620</v>
      </c>
      <c r="C207" t="s">
        <v>621</v>
      </c>
      <c r="D207" t="s">
        <v>622</v>
      </c>
    </row>
    <row r="208" spans="2:4" x14ac:dyDescent="0.25">
      <c r="B208" t="s">
        <v>237</v>
      </c>
      <c r="C208" t="s">
        <v>238</v>
      </c>
      <c r="D208" t="s">
        <v>239</v>
      </c>
    </row>
    <row r="209" spans="2:4" x14ac:dyDescent="0.25">
      <c r="B209" t="s">
        <v>240</v>
      </c>
      <c r="C209" t="s">
        <v>241</v>
      </c>
      <c r="D209" t="s">
        <v>242</v>
      </c>
    </row>
    <row r="210" spans="2:4" x14ac:dyDescent="0.25">
      <c r="B210" t="s">
        <v>623</v>
      </c>
      <c r="C210" t="s">
        <v>624</v>
      </c>
      <c r="D210" t="s">
        <v>625</v>
      </c>
    </row>
    <row r="211" spans="2:4" x14ac:dyDescent="0.25">
      <c r="B211" t="s">
        <v>626</v>
      </c>
      <c r="C211" t="s">
        <v>627</v>
      </c>
      <c r="D211" t="s">
        <v>628</v>
      </c>
    </row>
    <row r="212" spans="2:4" x14ac:dyDescent="0.25">
      <c r="B212" t="s">
        <v>629</v>
      </c>
      <c r="C212" t="s">
        <v>630</v>
      </c>
      <c r="D212" t="s">
        <v>631</v>
      </c>
    </row>
    <row r="213" spans="2:4" x14ac:dyDescent="0.25">
      <c r="B213" t="s">
        <v>243</v>
      </c>
      <c r="C213" t="s">
        <v>244</v>
      </c>
      <c r="D213" t="s">
        <v>245</v>
      </c>
    </row>
    <row r="214" spans="2:4" x14ac:dyDescent="0.25">
      <c r="B214" t="s">
        <v>632</v>
      </c>
      <c r="C214" t="s">
        <v>633</v>
      </c>
      <c r="D214" t="s">
        <v>634</v>
      </c>
    </row>
    <row r="215" spans="2:4" x14ac:dyDescent="0.25">
      <c r="B215" t="s">
        <v>246</v>
      </c>
      <c r="C215" t="s">
        <v>247</v>
      </c>
      <c r="D215" t="s">
        <v>248</v>
      </c>
    </row>
    <row r="216" spans="2:4" x14ac:dyDescent="0.25">
      <c r="B216" t="s">
        <v>635</v>
      </c>
      <c r="C216" t="s">
        <v>636</v>
      </c>
      <c r="D216" t="s">
        <v>637</v>
      </c>
    </row>
    <row r="217" spans="2:4" x14ac:dyDescent="0.25">
      <c r="B217" t="s">
        <v>249</v>
      </c>
      <c r="C217" t="s">
        <v>250</v>
      </c>
      <c r="D217" t="s">
        <v>251</v>
      </c>
    </row>
    <row r="218" spans="2:4" x14ac:dyDescent="0.25">
      <c r="B218" t="s">
        <v>638</v>
      </c>
      <c r="C218" t="s">
        <v>639</v>
      </c>
      <c r="D218" t="s">
        <v>640</v>
      </c>
    </row>
  </sheetData>
  <sortState ref="B1:D576">
    <sortCondition ref="B1:B576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Hoja1</vt:lpstr>
      <vt:lpstr>Hoja2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Tomás Abrego García</dc:creator>
  <cp:lastModifiedBy>video</cp:lastModifiedBy>
  <dcterms:created xsi:type="dcterms:W3CDTF">2024-04-23T01:07:15Z</dcterms:created>
  <dcterms:modified xsi:type="dcterms:W3CDTF">2025-04-01T22:51:47Z</dcterms:modified>
</cp:coreProperties>
</file>